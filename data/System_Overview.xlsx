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.glossat\OneDrive - Enerparc AG\Desktop\Projekte\2026-06-02 Hackathon München\Hackathon-Enerparc-Challenge\Hackathon\"/>
    </mc:Choice>
  </mc:AlternateContent>
  <xr:revisionPtr revIDLastSave="0" documentId="13_ncr:1_{C5698E0C-A77B-400E-A28A-569865395857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PV plant info" sheetId="1" r:id="rId1"/>
  </sheets>
  <externalReferences>
    <externalReference r:id="rId2"/>
  </externalReferences>
  <definedNames>
    <definedName name="Module">[1]Modulinfo!$B$2:$B$45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8" i="1" l="1"/>
  <c r="G88" i="1"/>
  <c r="F88" i="1"/>
  <c r="N87" i="1"/>
  <c r="G87" i="1"/>
  <c r="F87" i="1"/>
  <c r="N86" i="1"/>
  <c r="K86" i="1"/>
  <c r="G86" i="1"/>
  <c r="F86" i="1"/>
  <c r="N85" i="1"/>
  <c r="G85" i="1"/>
  <c r="F85" i="1"/>
  <c r="N84" i="1"/>
  <c r="G84" i="1"/>
  <c r="F84" i="1"/>
  <c r="N83" i="1"/>
  <c r="G83" i="1"/>
  <c r="F83" i="1"/>
  <c r="M82" i="1"/>
  <c r="N81" i="1"/>
  <c r="K81" i="1"/>
  <c r="N80" i="1"/>
  <c r="K80" i="1"/>
  <c r="G80" i="1"/>
  <c r="F80" i="1"/>
  <c r="N79" i="1"/>
  <c r="G79" i="1"/>
  <c r="F79" i="1"/>
  <c r="N78" i="1"/>
  <c r="G78" i="1"/>
  <c r="F78" i="1"/>
  <c r="N77" i="1"/>
  <c r="K77" i="1"/>
  <c r="G77" i="1"/>
  <c r="F77" i="1"/>
  <c r="N76" i="1"/>
  <c r="G76" i="1"/>
  <c r="F76" i="1"/>
  <c r="N75" i="1"/>
  <c r="K75" i="1"/>
  <c r="G75" i="1"/>
  <c r="F75" i="1"/>
  <c r="N74" i="1"/>
  <c r="G74" i="1"/>
  <c r="F74" i="1"/>
  <c r="N73" i="1"/>
  <c r="K73" i="1"/>
  <c r="N72" i="1"/>
  <c r="K72" i="1"/>
  <c r="G72" i="1"/>
  <c r="F72" i="1"/>
  <c r="M71" i="1"/>
  <c r="N70" i="1"/>
  <c r="K70" i="1"/>
  <c r="N69" i="1"/>
  <c r="K69" i="1"/>
  <c r="G69" i="1"/>
  <c r="F69" i="1"/>
  <c r="N68" i="1"/>
  <c r="K68" i="1"/>
  <c r="N67" i="1"/>
  <c r="K67" i="1"/>
  <c r="G67" i="1"/>
  <c r="F67" i="1"/>
  <c r="N66" i="1"/>
  <c r="K66" i="1"/>
  <c r="N65" i="1"/>
  <c r="G65" i="1"/>
  <c r="F65" i="1"/>
  <c r="N64" i="1"/>
  <c r="K64" i="1"/>
  <c r="N63" i="1"/>
  <c r="K63" i="1"/>
  <c r="G63" i="1"/>
  <c r="F63" i="1"/>
  <c r="N62" i="1"/>
  <c r="K62" i="1"/>
  <c r="G62" i="1"/>
  <c r="F62" i="1"/>
  <c r="N61" i="1"/>
  <c r="K61" i="1"/>
  <c r="G61" i="1"/>
  <c r="F61" i="1"/>
  <c r="N60" i="1"/>
  <c r="K60" i="1"/>
  <c r="G60" i="1"/>
  <c r="F60" i="1"/>
  <c r="N59" i="1"/>
  <c r="K59" i="1"/>
  <c r="G59" i="1"/>
  <c r="F59" i="1"/>
  <c r="M58" i="1"/>
  <c r="N57" i="1"/>
  <c r="K57" i="1"/>
  <c r="G57" i="1"/>
  <c r="F57" i="1"/>
  <c r="N56" i="1"/>
  <c r="G56" i="1"/>
  <c r="F56" i="1"/>
  <c r="N55" i="1"/>
  <c r="K55" i="1"/>
  <c r="G55" i="1"/>
  <c r="F55" i="1"/>
  <c r="N54" i="1"/>
  <c r="K54" i="1"/>
  <c r="N53" i="1"/>
  <c r="K53" i="1"/>
  <c r="G53" i="1"/>
  <c r="F53" i="1"/>
  <c r="N52" i="1"/>
  <c r="K52" i="1"/>
  <c r="G52" i="1"/>
  <c r="F52" i="1"/>
  <c r="N51" i="1"/>
  <c r="K51" i="1"/>
  <c r="G51" i="1"/>
  <c r="F51" i="1"/>
  <c r="N50" i="1"/>
  <c r="K50" i="1"/>
  <c r="G50" i="1"/>
  <c r="F50" i="1"/>
  <c r="N49" i="1"/>
  <c r="G49" i="1"/>
  <c r="F49" i="1"/>
  <c r="M48" i="1"/>
  <c r="N47" i="1"/>
  <c r="G47" i="1"/>
  <c r="F47" i="1"/>
  <c r="N46" i="1"/>
  <c r="K46" i="1"/>
  <c r="G46" i="1"/>
  <c r="F46" i="1"/>
  <c r="K45" i="1"/>
  <c r="G45" i="1"/>
  <c r="F45" i="1"/>
  <c r="K44" i="1"/>
  <c r="G44" i="1"/>
  <c r="F44" i="1"/>
  <c r="N43" i="1"/>
  <c r="G43" i="1"/>
  <c r="F43" i="1"/>
  <c r="N42" i="1"/>
  <c r="K42" i="1"/>
  <c r="N41" i="1"/>
  <c r="K41" i="1"/>
  <c r="G41" i="1"/>
  <c r="F41" i="1"/>
  <c r="N40" i="1"/>
  <c r="K40" i="1"/>
  <c r="G40" i="1"/>
  <c r="F40" i="1"/>
  <c r="M39" i="1"/>
  <c r="N38" i="1"/>
  <c r="G38" i="1"/>
  <c r="F38" i="1"/>
  <c r="N37" i="1"/>
  <c r="K37" i="1"/>
  <c r="N36" i="1"/>
  <c r="K36" i="1"/>
  <c r="G36" i="1"/>
  <c r="F36" i="1"/>
  <c r="N35" i="1"/>
  <c r="K35" i="1"/>
  <c r="N34" i="1"/>
  <c r="K34" i="1"/>
  <c r="G34" i="1"/>
  <c r="F34" i="1"/>
  <c r="N33" i="1"/>
  <c r="K33" i="1"/>
  <c r="G33" i="1"/>
  <c r="F33" i="1"/>
  <c r="N32" i="1"/>
  <c r="K32" i="1"/>
  <c r="G32" i="1"/>
  <c r="F32" i="1"/>
  <c r="N31" i="1"/>
  <c r="K31" i="1"/>
  <c r="G31" i="1"/>
  <c r="F31" i="1"/>
  <c r="N30" i="1"/>
  <c r="K30" i="1"/>
  <c r="G30" i="1"/>
  <c r="F30" i="1"/>
  <c r="M29" i="1"/>
  <c r="N28" i="1"/>
  <c r="K28" i="1"/>
  <c r="G28" i="1"/>
  <c r="F28" i="1"/>
  <c r="N27" i="1"/>
  <c r="K27" i="1"/>
  <c r="G27" i="1"/>
  <c r="F27" i="1"/>
  <c r="N26" i="1"/>
  <c r="K26" i="1"/>
  <c r="G26" i="1"/>
  <c r="F26" i="1"/>
  <c r="N25" i="1"/>
  <c r="K25" i="1"/>
  <c r="G25" i="1"/>
  <c r="F25" i="1"/>
  <c r="N24" i="1"/>
  <c r="K24" i="1"/>
  <c r="G24" i="1"/>
  <c r="F24" i="1"/>
  <c r="N23" i="1"/>
  <c r="K23" i="1"/>
  <c r="G23" i="1"/>
  <c r="F23" i="1"/>
  <c r="N22" i="1"/>
  <c r="G22" i="1"/>
  <c r="F22" i="1"/>
  <c r="M21" i="1"/>
  <c r="N20" i="1"/>
  <c r="K20" i="1"/>
  <c r="G20" i="1"/>
  <c r="F20" i="1"/>
  <c r="N19" i="1"/>
  <c r="K19" i="1"/>
  <c r="G19" i="1"/>
  <c r="F19" i="1"/>
  <c r="N18" i="1"/>
  <c r="G18" i="1"/>
  <c r="F18" i="1"/>
  <c r="N17" i="1"/>
  <c r="K17" i="1"/>
  <c r="G17" i="1"/>
  <c r="F17" i="1"/>
  <c r="N16" i="1"/>
  <c r="K16" i="1"/>
  <c r="G16" i="1"/>
  <c r="F16" i="1"/>
  <c r="N15" i="1"/>
  <c r="K15" i="1"/>
  <c r="G15" i="1"/>
  <c r="F15" i="1"/>
  <c r="N14" i="1"/>
  <c r="K14" i="1"/>
  <c r="G14" i="1"/>
  <c r="F14" i="1"/>
  <c r="M13" i="1"/>
  <c r="N12" i="1"/>
  <c r="K12" i="1"/>
  <c r="G12" i="1"/>
  <c r="F12" i="1"/>
  <c r="N11" i="1"/>
  <c r="G11" i="1"/>
  <c r="F11" i="1"/>
  <c r="N10" i="1"/>
  <c r="G10" i="1"/>
  <c r="F10" i="1"/>
  <c r="N8" i="1"/>
  <c r="K8" i="1"/>
  <c r="G8" i="1"/>
  <c r="F8" i="1"/>
  <c r="N7" i="1"/>
  <c r="G7" i="1"/>
  <c r="F7" i="1"/>
  <c r="N6" i="1"/>
  <c r="K6" i="1"/>
  <c r="G6" i="1"/>
  <c r="F6" i="1"/>
  <c r="N5" i="1"/>
  <c r="K5" i="1"/>
  <c r="G5" i="1"/>
  <c r="F5" i="1"/>
  <c r="M4" i="1"/>
  <c r="K47" i="1" l="1"/>
  <c r="K65" i="1"/>
  <c r="K10" i="1"/>
  <c r="K49" i="1"/>
  <c r="K7" i="1"/>
  <c r="K87" i="1"/>
  <c r="K85" i="1"/>
  <c r="K83" i="1"/>
  <c r="K11" i="1"/>
  <c r="K88" i="1"/>
  <c r="K84" i="1"/>
  <c r="K78" i="1"/>
  <c r="K56" i="1"/>
  <c r="K22" i="1"/>
  <c r="K21" i="1" s="1"/>
  <c r="K58" i="1"/>
  <c r="K18" i="1"/>
  <c r="K13" i="1" s="1"/>
  <c r="M2" i="1"/>
  <c r="K76" i="1"/>
  <c r="K82" i="1"/>
  <c r="N21" i="1"/>
  <c r="N13" i="1"/>
  <c r="F9" i="1"/>
  <c r="N82" i="1"/>
  <c r="K79" i="1"/>
  <c r="K74" i="1"/>
  <c r="K48" i="1"/>
  <c r="N48" i="1" s="1"/>
  <c r="K43" i="1"/>
  <c r="K38" i="1"/>
  <c r="K29" i="1"/>
  <c r="N58" i="1" l="1"/>
  <c r="K4" i="1"/>
  <c r="N4" i="1" s="1"/>
  <c r="K71" i="1"/>
  <c r="N71" i="1" s="1"/>
  <c r="K39" i="1"/>
  <c r="N39" i="1" s="1"/>
  <c r="N29" i="1"/>
  <c r="L2" i="1" l="1"/>
  <c r="K2" i="1"/>
</calcChain>
</file>

<file path=xl/sharedStrings.xml><?xml version="1.0" encoding="utf-8"?>
<sst xmlns="http://schemas.openxmlformats.org/spreadsheetml/2006/main" count="414" uniqueCount="124">
  <si>
    <t>Project:</t>
  </si>
  <si>
    <t>Modules:</t>
  </si>
  <si>
    <t>System Power</t>
  </si>
  <si>
    <t>Strings:</t>
  </si>
  <si>
    <t>Modules/String</t>
  </si>
  <si>
    <t>Project</t>
  </si>
  <si>
    <t>Station</t>
  </si>
  <si>
    <t>Description</t>
  </si>
  <si>
    <t>WR-Type</t>
  </si>
  <si>
    <t>Location</t>
  </si>
  <si>
    <t>Module Type</t>
  </si>
  <si>
    <t>Modules</t>
  </si>
  <si>
    <r>
      <t>P</t>
    </r>
    <r>
      <rPr>
        <b/>
        <vertAlign val="subscript"/>
        <sz val="11"/>
        <rFont val="Calibri"/>
        <family val="2"/>
        <scheme val="minor"/>
      </rPr>
      <t>DC</t>
    </r>
    <r>
      <rPr>
        <b/>
        <sz val="11"/>
        <rFont val="Calibri"/>
        <family val="2"/>
        <scheme val="minor"/>
      </rPr>
      <t xml:space="preserve"> (kWp)</t>
    </r>
  </si>
  <si>
    <t>Strings</t>
  </si>
  <si>
    <t>-</t>
  </si>
  <si>
    <t>Row</t>
  </si>
  <si>
    <t>A.019</t>
  </si>
  <si>
    <t>O</t>
  </si>
  <si>
    <t>WR 01 .01. 004.02</t>
  </si>
  <si>
    <t>A.014</t>
  </si>
  <si>
    <t>A.010</t>
  </si>
  <si>
    <t>A.007</t>
  </si>
  <si>
    <t>A.004</t>
  </si>
  <si>
    <t>B.018</t>
  </si>
  <si>
    <t>B.013</t>
  </si>
  <si>
    <t>B.009</t>
  </si>
  <si>
    <t>B.004</t>
  </si>
  <si>
    <t>ACC 01 .01</t>
  </si>
  <si>
    <t>WR 01 .01 .001</t>
  </si>
  <si>
    <t>WR 01 .01 .002</t>
  </si>
  <si>
    <t>WR 01 .01 .003</t>
  </si>
  <si>
    <t>WR 01 .01 .004</t>
  </si>
  <si>
    <t>WR 01 .01 .005</t>
  </si>
  <si>
    <t>WR 01 .01 .006</t>
  </si>
  <si>
    <t>WR 01 .01 .007</t>
  </si>
  <si>
    <t xml:space="preserve">ACC 01 .02  </t>
  </si>
  <si>
    <t>WR 01 .02 .008</t>
  </si>
  <si>
    <t>WR 01 .02 .009</t>
  </si>
  <si>
    <t>WR 01 .02 .010</t>
  </si>
  <si>
    <t>WR 01 .02 .011</t>
  </si>
  <si>
    <t>WR 01 .02 .012</t>
  </si>
  <si>
    <t>WR 01 .02 .013</t>
  </si>
  <si>
    <t>WR 01 .02 .014</t>
  </si>
  <si>
    <t xml:space="preserve">ACC 01 .03  </t>
  </si>
  <si>
    <t>WR 01 .03 .015</t>
  </si>
  <si>
    <t>WR 01 .03 .016</t>
  </si>
  <si>
    <t>WR 01 .03 .017</t>
  </si>
  <si>
    <t>WR 01 .03 .018</t>
  </si>
  <si>
    <t>WR 01 .03 .019</t>
  </si>
  <si>
    <t>WR 01 .03 .020</t>
  </si>
  <si>
    <t>WR 01 .03 .021</t>
  </si>
  <si>
    <t xml:space="preserve">ACC 01 .04  </t>
  </si>
  <si>
    <t>WR 01 .04 .022</t>
  </si>
  <si>
    <t>WR 01 .04 .023</t>
  </si>
  <si>
    <t>WR 01 .04 .024</t>
  </si>
  <si>
    <t>WR 01 .04 .025</t>
  </si>
  <si>
    <t>WR 01 .04 .026</t>
  </si>
  <si>
    <t>WR 01 .04 .027</t>
  </si>
  <si>
    <t>WR 01 .04 .028</t>
  </si>
  <si>
    <t xml:space="preserve">ACC 01 .05  </t>
  </si>
  <si>
    <t>WR 01 .05 .029</t>
  </si>
  <si>
    <t>WR 01 .05 .030</t>
  </si>
  <si>
    <t>WR 01 .05 .031</t>
  </si>
  <si>
    <t>WR 01 .05 .032</t>
  </si>
  <si>
    <t>WR 01 .05 .033</t>
  </si>
  <si>
    <t>WR 01 .05 .034</t>
  </si>
  <si>
    <t>WR 01 .05 .035</t>
  </si>
  <si>
    <t xml:space="preserve">ACC 01 .06  </t>
  </si>
  <si>
    <t>WR 01 .06 .036</t>
  </si>
  <si>
    <t>WR 01 .06 .037</t>
  </si>
  <si>
    <t>WR 01 .06 .038</t>
  </si>
  <si>
    <t>WR 01 .06 .039</t>
  </si>
  <si>
    <t>WR 01 .06 .040</t>
  </si>
  <si>
    <t>WR 01 .06 .041</t>
  </si>
  <si>
    <t>WR 01 .06 .042</t>
  </si>
  <si>
    <t>WR 01 .06 .043</t>
  </si>
  <si>
    <t xml:space="preserve">ACC 01 .07  </t>
  </si>
  <si>
    <t>WR 01 .07 .044</t>
  </si>
  <si>
    <t>WR 01 .07 .045</t>
  </si>
  <si>
    <t>WR 01 .07 .046</t>
  </si>
  <si>
    <t>WR 01 .07 .047</t>
  </si>
  <si>
    <t>WR 01 .07 .048</t>
  </si>
  <si>
    <t>WR 01 .07 .049</t>
  </si>
  <si>
    <t>WR 01 .07 .050</t>
  </si>
  <si>
    <t>WR 01 .07 .051</t>
  </si>
  <si>
    <t xml:space="preserve">ACC 01 .08  </t>
  </si>
  <si>
    <t>WR 01 .08 .052</t>
  </si>
  <si>
    <t>WR 01 .08 .053</t>
  </si>
  <si>
    <t>WR 01 .08 .054</t>
  </si>
  <si>
    <t>WR 01 .08 .055</t>
  </si>
  <si>
    <t>WR 01 .08 .056</t>
  </si>
  <si>
    <t>WR 01 .08 .057</t>
  </si>
  <si>
    <t>WR 01 .08 .058</t>
  </si>
  <si>
    <t>WR 01 .08 .059</t>
  </si>
  <si>
    <t xml:space="preserve">ACC 01 .09  </t>
  </si>
  <si>
    <t>WR 01 .09 .060</t>
  </si>
  <si>
    <t>WR 01 .09 .061</t>
  </si>
  <si>
    <t>WR 01 .09 .062</t>
  </si>
  <si>
    <t>WR 01 .09 .063</t>
  </si>
  <si>
    <t>WR 01 .09 .064</t>
  </si>
  <si>
    <t>WR 01 .09 .065</t>
  </si>
  <si>
    <t>Example Plant</t>
  </si>
  <si>
    <t>Inverter</t>
  </si>
  <si>
    <t>Module Type 1</t>
  </si>
  <si>
    <t>Module Type 2</t>
  </si>
  <si>
    <t>Module Type 3</t>
  </si>
  <si>
    <t>Module Type 4</t>
  </si>
  <si>
    <t>Module Type 5</t>
  </si>
  <si>
    <t>Module Type 6</t>
  </si>
  <si>
    <t>Module Type 7</t>
  </si>
  <si>
    <t>Module Type 8</t>
  </si>
  <si>
    <t>Module Type 9</t>
  </si>
  <si>
    <t>Module Type 10</t>
  </si>
  <si>
    <t>Module Type 11</t>
  </si>
  <si>
    <t>Module Type 12</t>
  </si>
  <si>
    <t>Module Type 13</t>
  </si>
  <si>
    <t>Module Type 14</t>
  </si>
  <si>
    <t>Manufacturer 1</t>
  </si>
  <si>
    <t>Manufacturer 2</t>
  </si>
  <si>
    <t>Manufacturer 3</t>
  </si>
  <si>
    <t>Manufacturer 4</t>
  </si>
  <si>
    <t>Manufacturer 5</t>
  </si>
  <si>
    <t>Manufacturer</t>
  </si>
  <si>
    <t>kWp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</si>
</sst>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.000"/>
    <numFmt numFmtId="165" formatCode="&quot;TSM-&quot;000&quot;PC05&quot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" fontId="7" fillId="0" borderId="4" xfId="0" applyNumberFormat="1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49" fontId="0" fillId="4" borderId="4" xfId="0" applyNumberForma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textRotation="90"/>
    </xf>
    <xf numFmtId="0" fontId="5" fillId="3" borderId="6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left"/>
    </xf>
    <xf numFmtId="4" fontId="0" fillId="4" borderId="4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165" fontId="0" fillId="5" borderId="4" xfId="0" applyNumberFormat="1" applyFill="1" applyBorder="1" applyAlignment="1">
      <alignment horizontal="center" vertical="center"/>
    </xf>
    <xf numFmtId="4" fontId="0" fillId="5" borderId="4" xfId="0" applyNumberFormat="1" applyFill="1" applyBorder="1" applyAlignment="1">
      <alignment horizontal="center" vertical="center"/>
    </xf>
    <xf numFmtId="164" fontId="0" fillId="6" borderId="4" xfId="0" applyNumberFormat="1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4" fontId="0" fillId="6" borderId="4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vertical="center"/>
    </xf>
    <xf numFmtId="164" fontId="0" fillId="7" borderId="4" xfId="0" applyNumberFormat="1" applyFill="1" applyBorder="1" applyAlignment="1">
      <alignment vertical="center"/>
    </xf>
    <xf numFmtId="0" fontId="0" fillId="7" borderId="4" xfId="0" applyFill="1" applyBorder="1" applyAlignment="1">
      <alignment horizontal="center" vertical="center"/>
    </xf>
    <xf numFmtId="165" fontId="0" fillId="7" borderId="4" xfId="0" applyNumberFormat="1" applyFill="1" applyBorder="1" applyAlignment="1">
      <alignment horizontal="center" vertical="center"/>
    </xf>
    <xf numFmtId="4" fontId="0" fillId="7" borderId="4" xfId="0" applyNumberFormat="1" applyFill="1" applyBorder="1" applyAlignment="1">
      <alignment horizontal="center" vertical="center"/>
    </xf>
    <xf numFmtId="164" fontId="0" fillId="8" borderId="4" xfId="0" applyNumberFormat="1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165" fontId="0" fillId="8" borderId="4" xfId="0" applyNumberFormat="1" applyFill="1" applyBorder="1" applyAlignment="1">
      <alignment horizontal="center" vertical="center"/>
    </xf>
    <xf numFmtId="4" fontId="0" fillId="8" borderId="4" xfId="0" applyNumberFormat="1" applyFill="1" applyBorder="1" applyAlignment="1">
      <alignment horizontal="center" vertical="center"/>
    </xf>
    <xf numFmtId="164" fontId="0" fillId="9" borderId="4" xfId="0" applyNumberFormat="1" applyFill="1" applyBorder="1" applyAlignment="1">
      <alignment vertical="center"/>
    </xf>
    <xf numFmtId="0" fontId="0" fillId="9" borderId="4" xfId="0" applyFill="1" applyBorder="1" applyAlignment="1">
      <alignment horizontal="center" vertical="center"/>
    </xf>
    <xf numFmtId="165" fontId="0" fillId="9" borderId="4" xfId="0" applyNumberFormat="1" applyFill="1" applyBorder="1" applyAlignment="1">
      <alignment horizontal="center" vertical="center"/>
    </xf>
    <xf numFmtId="4" fontId="0" fillId="9" borderId="4" xfId="0" applyNumberFormat="1" applyFill="1" applyBorder="1" applyAlignment="1">
      <alignment horizontal="center" vertical="center"/>
    </xf>
    <xf numFmtId="164" fontId="0" fillId="9" borderId="5" xfId="0" applyNumberFormat="1" applyFill="1" applyBorder="1" applyAlignment="1">
      <alignment vertical="center"/>
    </xf>
    <xf numFmtId="0" fontId="0" fillId="9" borderId="5" xfId="0" applyFill="1" applyBorder="1" applyAlignment="1">
      <alignment horizontal="center" vertical="center"/>
    </xf>
    <xf numFmtId="164" fontId="0" fillId="9" borderId="7" xfId="0" applyNumberFormat="1" applyFill="1" applyBorder="1" applyAlignment="1">
      <alignment vertical="center"/>
    </xf>
    <xf numFmtId="0" fontId="0" fillId="9" borderId="7" xfId="0" applyFill="1" applyBorder="1" applyAlignment="1">
      <alignment horizontal="center" vertical="center"/>
    </xf>
    <xf numFmtId="164" fontId="0" fillId="10" borderId="4" xfId="0" applyNumberFormat="1" applyFill="1" applyBorder="1" applyAlignment="1">
      <alignment vertical="center"/>
    </xf>
    <xf numFmtId="0" fontId="0" fillId="10" borderId="4" xfId="0" applyFill="1" applyBorder="1" applyAlignment="1">
      <alignment horizontal="center" vertical="center"/>
    </xf>
    <xf numFmtId="165" fontId="0" fillId="10" borderId="4" xfId="0" applyNumberFormat="1" applyFill="1" applyBorder="1" applyAlignment="1">
      <alignment horizontal="center" vertical="center"/>
    </xf>
    <xf numFmtId="4" fontId="0" fillId="10" borderId="4" xfId="0" applyNumberFormat="1" applyFill="1" applyBorder="1" applyAlignment="1">
      <alignment horizontal="center" vertical="center"/>
    </xf>
    <xf numFmtId="164" fontId="0" fillId="10" borderId="5" xfId="0" applyNumberFormat="1" applyFill="1" applyBorder="1" applyAlignment="1">
      <alignment vertical="center"/>
    </xf>
    <xf numFmtId="0" fontId="0" fillId="10" borderId="5" xfId="0" applyFill="1" applyBorder="1" applyAlignment="1">
      <alignment horizontal="center" vertical="center"/>
    </xf>
    <xf numFmtId="164" fontId="0" fillId="10" borderId="7" xfId="0" applyNumberFormat="1" applyFill="1" applyBorder="1" applyAlignment="1">
      <alignment vertical="center"/>
    </xf>
    <xf numFmtId="0" fontId="0" fillId="10" borderId="7" xfId="0" applyFill="1" applyBorder="1" applyAlignment="1">
      <alignment horizontal="center" vertical="center"/>
    </xf>
    <xf numFmtId="164" fontId="0" fillId="10" borderId="5" xfId="0" applyNumberFormat="1" applyFill="1" applyBorder="1" applyAlignment="1">
      <alignment vertical="center"/>
    </xf>
    <xf numFmtId="164" fontId="0" fillId="11" borderId="4" xfId="0" applyNumberFormat="1" applyFill="1" applyBorder="1" applyAlignment="1">
      <alignment vertical="center"/>
    </xf>
    <xf numFmtId="0" fontId="0" fillId="11" borderId="4" xfId="0" applyFill="1" applyBorder="1" applyAlignment="1">
      <alignment horizontal="center" vertical="center"/>
    </xf>
    <xf numFmtId="165" fontId="0" fillId="11" borderId="4" xfId="0" applyNumberFormat="1" applyFill="1" applyBorder="1" applyAlignment="1">
      <alignment horizontal="center" vertical="center"/>
    </xf>
    <xf numFmtId="4" fontId="0" fillId="11" borderId="4" xfId="0" applyNumberFormat="1" applyFill="1" applyBorder="1" applyAlignment="1">
      <alignment horizontal="center" vertical="center"/>
    </xf>
    <xf numFmtId="164" fontId="0" fillId="11" borderId="5" xfId="0" applyNumberFormat="1" applyFill="1" applyBorder="1" applyAlignment="1">
      <alignment vertical="center"/>
    </xf>
    <xf numFmtId="0" fontId="0" fillId="11" borderId="5" xfId="0" applyFill="1" applyBorder="1" applyAlignment="1">
      <alignment horizontal="center" vertical="center"/>
    </xf>
    <xf numFmtId="164" fontId="0" fillId="11" borderId="7" xfId="0" applyNumberFormat="1" applyFill="1" applyBorder="1" applyAlignment="1">
      <alignment vertical="center"/>
    </xf>
    <xf numFmtId="0" fontId="0" fillId="11" borderId="7" xfId="0" applyFill="1" applyBorder="1" applyAlignment="1">
      <alignment horizontal="center" vertical="center"/>
    </xf>
    <xf numFmtId="164" fontId="0" fillId="12" borderId="4" xfId="0" applyNumberFormat="1" applyFill="1" applyBorder="1" applyAlignment="1">
      <alignment vertical="center"/>
    </xf>
    <xf numFmtId="0" fontId="0" fillId="12" borderId="4" xfId="0" applyFill="1" applyBorder="1" applyAlignment="1">
      <alignment horizontal="center" vertical="center"/>
    </xf>
    <xf numFmtId="165" fontId="0" fillId="12" borderId="4" xfId="0" applyNumberFormat="1" applyFill="1" applyBorder="1" applyAlignment="1">
      <alignment horizontal="center" vertical="center"/>
    </xf>
    <xf numFmtId="4" fontId="0" fillId="12" borderId="4" xfId="0" applyNumberFormat="1" applyFill="1" applyBorder="1" applyAlignment="1">
      <alignment horizontal="center" vertical="center"/>
    </xf>
    <xf numFmtId="164" fontId="0" fillId="12" borderId="5" xfId="0" applyNumberFormat="1" applyFill="1" applyBorder="1" applyAlignment="1">
      <alignment vertical="center"/>
    </xf>
    <xf numFmtId="0" fontId="0" fillId="12" borderId="5" xfId="0" applyFill="1" applyBorder="1" applyAlignment="1">
      <alignment horizontal="center" vertical="center"/>
    </xf>
    <xf numFmtId="164" fontId="0" fillId="12" borderId="7" xfId="0" applyNumberFormat="1" applyFill="1" applyBorder="1" applyAlignment="1">
      <alignment vertical="center"/>
    </xf>
    <xf numFmtId="0" fontId="0" fillId="12" borderId="7" xfId="0" applyFill="1" applyBorder="1" applyAlignment="1">
      <alignment horizontal="center" vertical="center"/>
    </xf>
    <xf numFmtId="164" fontId="0" fillId="13" borderId="5" xfId="0" applyNumberFormat="1" applyFill="1" applyBorder="1" applyAlignment="1">
      <alignment vertical="center"/>
    </xf>
    <xf numFmtId="0" fontId="0" fillId="13" borderId="5" xfId="0" applyFill="1" applyBorder="1" applyAlignment="1">
      <alignment horizontal="center" vertical="center"/>
    </xf>
    <xf numFmtId="165" fontId="0" fillId="13" borderId="4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4" fontId="0" fillId="13" borderId="4" xfId="0" applyNumberFormat="1" applyFill="1" applyBorder="1" applyAlignment="1">
      <alignment horizontal="center" vertical="center"/>
    </xf>
    <xf numFmtId="164" fontId="0" fillId="13" borderId="7" xfId="0" applyNumberFormat="1" applyFill="1" applyBorder="1" applyAlignment="1">
      <alignment vertical="center"/>
    </xf>
    <xf numFmtId="0" fontId="0" fillId="13" borderId="7" xfId="0" applyFill="1" applyBorder="1" applyAlignment="1">
      <alignment horizontal="center" vertical="center"/>
    </xf>
    <xf numFmtId="164" fontId="0" fillId="13" borderId="4" xfId="0" applyNumberFormat="1" applyFill="1" applyBorder="1" applyAlignment="1">
      <alignment vertical="center"/>
    </xf>
    <xf numFmtId="164" fontId="0" fillId="14" borderId="4" xfId="0" applyNumberFormat="1" applyFill="1" applyBorder="1" applyAlignment="1">
      <alignment horizontal="left"/>
    </xf>
    <xf numFmtId="0" fontId="0" fillId="14" borderId="4" xfId="0" applyFill="1" applyBorder="1" applyAlignment="1">
      <alignment horizontal="center" vertical="center"/>
    </xf>
    <xf numFmtId="165" fontId="0" fillId="14" borderId="4" xfId="0" applyNumberFormat="1" applyFill="1" applyBorder="1" applyAlignment="1">
      <alignment horizontal="center" vertical="center"/>
    </xf>
    <xf numFmtId="4" fontId="0" fillId="14" borderId="4" xfId="0" applyNumberForma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/>
    </xf>
    <xf numFmtId="1" fontId="0" fillId="6" borderId="4" xfId="0" applyNumberForma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0" fillId="7" borderId="4" xfId="0" applyNumberFormat="1" applyFill="1" applyBorder="1" applyAlignment="1">
      <alignment horizontal="center" vertical="center"/>
    </xf>
    <xf numFmtId="1" fontId="0" fillId="8" borderId="4" xfId="0" applyNumberFormat="1" applyFill="1" applyBorder="1" applyAlignment="1">
      <alignment horizontal="center" vertical="center"/>
    </xf>
    <xf numFmtId="1" fontId="0" fillId="9" borderId="4" xfId="0" applyNumberFormat="1" applyFill="1" applyBorder="1" applyAlignment="1">
      <alignment horizontal="center" vertical="center"/>
    </xf>
    <xf numFmtId="1" fontId="0" fillId="10" borderId="4" xfId="0" applyNumberFormat="1" applyFill="1" applyBorder="1" applyAlignment="1">
      <alignment horizontal="center" vertical="center"/>
    </xf>
    <xf numFmtId="1" fontId="0" fillId="11" borderId="4" xfId="0" applyNumberFormat="1" applyFill="1" applyBorder="1" applyAlignment="1">
      <alignment horizontal="center" vertical="center"/>
    </xf>
    <xf numFmtId="1" fontId="0" fillId="12" borderId="4" xfId="0" applyNumberFormat="1" applyFill="1" applyBorder="1" applyAlignment="1">
      <alignment horizontal="center" vertical="center"/>
    </xf>
    <xf numFmtId="1" fontId="0" fillId="13" borderId="4" xfId="0" applyNumberFormat="1" applyFill="1" applyBorder="1" applyAlignment="1">
      <alignment horizontal="center" vertical="center"/>
    </xf>
    <xf numFmtId="1" fontId="0" fillId="14" borderId="4" xfId="0" applyNumberForma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.glossat\OneDrive%20-%20Enerparc%20AG\Desktop\Projekte\2026-06-02%20Hackathon%20M&#252;nchen\Hackathon-Enerparc-Challenge\Hackathon\D&#252;rr&#246;hrsdorf%20EP%20SDC.xlsx" TargetMode="External"/><Relationship Id="rId1" Type="http://schemas.openxmlformats.org/officeDocument/2006/relationships/externalLinkPath" Target="D&#252;rr&#246;hrsdorf%20EP%20SD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DC Template Strang WR"/>
      <sheetName val="Modulinfo"/>
      <sheetName val="WR_Austausch"/>
    </sheetNames>
    <sheetDataSet>
      <sheetData sheetId="0"/>
      <sheetData sheetId="1">
        <row r="2">
          <cell r="B2" t="str">
            <v>JAP6-60-225</v>
          </cell>
        </row>
        <row r="3">
          <cell r="B3" t="str">
            <v>JAP6-60-230</v>
          </cell>
        </row>
        <row r="4">
          <cell r="B4" t="str">
            <v>JAP6-60-235</v>
          </cell>
        </row>
        <row r="5">
          <cell r="B5" t="str">
            <v>LDK 215P-20</v>
          </cell>
        </row>
        <row r="6">
          <cell r="B6" t="str">
            <v>LDK 220P-20</v>
          </cell>
        </row>
        <row r="7">
          <cell r="B7" t="str">
            <v>LDK 225P-20</v>
          </cell>
        </row>
        <row r="8">
          <cell r="B8" t="str">
            <v>LDK 230P-20</v>
          </cell>
        </row>
        <row r="9">
          <cell r="B9" t="str">
            <v>LDK 235P-20</v>
          </cell>
        </row>
        <row r="10">
          <cell r="B10" t="str">
            <v>LDK 240P-20</v>
          </cell>
        </row>
        <row r="11">
          <cell r="B11" t="str">
            <v>LDK 245P-20</v>
          </cell>
        </row>
        <row r="12">
          <cell r="B12" t="str">
            <v>LDK 250P-20</v>
          </cell>
        </row>
        <row r="13">
          <cell r="B13" t="str">
            <v>LDK 240P-24</v>
          </cell>
        </row>
        <row r="14">
          <cell r="B14" t="str">
            <v>LDK 245P-24</v>
          </cell>
        </row>
        <row r="15">
          <cell r="B15" t="str">
            <v>LDK 250P-24</v>
          </cell>
        </row>
        <row r="16">
          <cell r="B16" t="str">
            <v>LDK 255P-24</v>
          </cell>
        </row>
        <row r="17">
          <cell r="B17" t="str">
            <v>LDK 260P-24</v>
          </cell>
        </row>
        <row r="18">
          <cell r="B18" t="str">
            <v>LDK 265P-24</v>
          </cell>
        </row>
        <row r="19">
          <cell r="B19" t="str">
            <v>LDK 270P-24</v>
          </cell>
        </row>
        <row r="20">
          <cell r="B20" t="str">
            <v>LDK 275P-24</v>
          </cell>
        </row>
        <row r="21">
          <cell r="B21" t="str">
            <v>LDK 280P-24</v>
          </cell>
        </row>
        <row r="22">
          <cell r="B22" t="str">
            <v>LDK 285P-24</v>
          </cell>
        </row>
        <row r="23">
          <cell r="B23" t="str">
            <v>LDK 290P-24</v>
          </cell>
        </row>
        <row r="24">
          <cell r="B24" t="str">
            <v>REC 280 TP</v>
          </cell>
        </row>
        <row r="25">
          <cell r="B25" t="str">
            <v>STP230-20/Wd</v>
          </cell>
        </row>
        <row r="26">
          <cell r="B26" t="str">
            <v>STP235-20/Wd</v>
          </cell>
        </row>
        <row r="27">
          <cell r="B27" t="str">
            <v>STP240-20/Wd</v>
          </cell>
        </row>
        <row r="28">
          <cell r="B28" t="str">
            <v>STP245-20/Wd</v>
          </cell>
        </row>
        <row r="29">
          <cell r="B29" t="str">
            <v>TSM-225PC04</v>
          </cell>
        </row>
        <row r="30">
          <cell r="B30" t="str">
            <v>TSM-230PC04</v>
          </cell>
        </row>
        <row r="31">
          <cell r="B31" t="str">
            <v>TSM-235PC05</v>
          </cell>
        </row>
        <row r="32">
          <cell r="B32" t="str">
            <v>TSM-240PC05</v>
          </cell>
        </row>
        <row r="33">
          <cell r="B33" t="str">
            <v>TSM-245PC05</v>
          </cell>
        </row>
        <row r="34">
          <cell r="B34" t="str">
            <v>TSM-250PC05A</v>
          </cell>
        </row>
        <row r="35">
          <cell r="B35" t="str">
            <v>TSM-255PC05A</v>
          </cell>
        </row>
        <row r="36">
          <cell r="B36" t="str">
            <v>TSM-265PC14</v>
          </cell>
        </row>
        <row r="37">
          <cell r="B37" t="str">
            <v>TSM-270PC14</v>
          </cell>
        </row>
        <row r="38">
          <cell r="B38" t="str">
            <v>TSM-275PC14</v>
          </cell>
        </row>
        <row r="39">
          <cell r="B39" t="str">
            <v>TSM-280PC14</v>
          </cell>
        </row>
        <row r="40">
          <cell r="B40" t="str">
            <v>TSM-285PC14</v>
          </cell>
        </row>
        <row r="41">
          <cell r="B41" t="str">
            <v>YL225P-29b</v>
          </cell>
        </row>
        <row r="42">
          <cell r="B42" t="str">
            <v>YL230P-29b</v>
          </cell>
        </row>
        <row r="43">
          <cell r="B43" t="str">
            <v>YL235P-29b</v>
          </cell>
        </row>
        <row r="44">
          <cell r="B44" t="str">
            <v>YL240P-29b</v>
          </cell>
        </row>
        <row r="45">
          <cell r="B45" t="str">
            <v>YL245P-29b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tabSelected="1" topLeftCell="A59" workbookViewId="0">
      <selection activeCell="K58" sqref="K58"/>
    </sheetView>
  </sheetViews>
  <sheetFormatPr baseColWidth="10" defaultColWidth="9.06640625" defaultRowHeight="14.25" x14ac:dyDescent="0.45"/>
  <cols>
    <col min="3" max="3" width="23.46484375" customWidth="1"/>
    <col min="4" max="4" width="22.3984375" customWidth="1"/>
    <col min="5" max="5" width="19.59765625" customWidth="1"/>
    <col min="6" max="6" width="23.06640625" customWidth="1"/>
    <col min="8" max="9" width="21.86328125" customWidth="1"/>
    <col min="10" max="10" width="24.796875" customWidth="1"/>
    <col min="11" max="11" width="19.46484375" customWidth="1"/>
    <col min="12" max="12" width="19.33203125" customWidth="1"/>
    <col min="13" max="13" width="18.6640625" customWidth="1"/>
    <col min="14" max="14" width="22.796875" customWidth="1"/>
  </cols>
  <sheetData>
    <row r="1" spans="1:14" ht="25.5" x14ac:dyDescent="0.45">
      <c r="A1" s="1" t="s">
        <v>0</v>
      </c>
      <c r="B1" s="2"/>
      <c r="C1" s="2"/>
      <c r="D1" s="3"/>
      <c r="E1" s="4"/>
      <c r="F1" s="4"/>
      <c r="G1" s="5"/>
      <c r="H1" s="6"/>
      <c r="I1" s="6"/>
      <c r="J1" s="6"/>
      <c r="K1" s="7" t="s">
        <v>1</v>
      </c>
      <c r="L1" s="8" t="s">
        <v>2</v>
      </c>
      <c r="M1" s="7" t="s">
        <v>3</v>
      </c>
      <c r="N1" s="9" t="s">
        <v>4</v>
      </c>
    </row>
    <row r="2" spans="1:14" ht="25.5" x14ac:dyDescent="0.45">
      <c r="A2" s="1" t="s">
        <v>101</v>
      </c>
      <c r="B2" s="2"/>
      <c r="C2" s="2"/>
      <c r="D2" s="4"/>
      <c r="E2" s="4"/>
      <c r="F2" s="4"/>
      <c r="G2" s="5"/>
      <c r="H2" s="6"/>
      <c r="I2" s="6"/>
      <c r="J2" s="6"/>
      <c r="K2" s="10">
        <f>SUM(K4:K88)/2</f>
        <v>7747</v>
      </c>
      <c r="L2" s="11">
        <f>SUM(L4:L88)/2</f>
        <v>1897.2999999999995</v>
      </c>
      <c r="M2" s="10">
        <f>SUM(M4:M88)/2</f>
        <v>324</v>
      </c>
      <c r="N2" s="7">
        <v>24</v>
      </c>
    </row>
    <row r="3" spans="1:14" ht="15.75" x14ac:dyDescent="0.45">
      <c r="A3" s="12" t="s">
        <v>5</v>
      </c>
      <c r="B3" s="12" t="s">
        <v>6</v>
      </c>
      <c r="C3" s="13" t="s">
        <v>7</v>
      </c>
      <c r="D3" s="12" t="s">
        <v>8</v>
      </c>
      <c r="E3" s="14" t="s">
        <v>9</v>
      </c>
      <c r="F3" s="15"/>
      <c r="G3" s="16"/>
      <c r="H3" s="17" t="s">
        <v>10</v>
      </c>
      <c r="I3" s="17" t="s">
        <v>122</v>
      </c>
      <c r="J3" s="17" t="s">
        <v>123</v>
      </c>
      <c r="K3" s="17" t="s">
        <v>11</v>
      </c>
      <c r="L3" s="18" t="s">
        <v>12</v>
      </c>
      <c r="M3" s="12" t="s">
        <v>13</v>
      </c>
      <c r="N3" s="12" t="s">
        <v>4</v>
      </c>
    </row>
    <row r="4" spans="1:14" x14ac:dyDescent="0.45">
      <c r="A4" s="22"/>
      <c r="B4" s="23"/>
      <c r="C4" s="24" t="s">
        <v>27</v>
      </c>
      <c r="D4" s="20" t="s">
        <v>14</v>
      </c>
      <c r="E4" s="20" t="s">
        <v>15</v>
      </c>
      <c r="F4" s="19" t="s">
        <v>16</v>
      </c>
      <c r="G4" s="20" t="s">
        <v>17</v>
      </c>
      <c r="H4" s="21" t="s">
        <v>14</v>
      </c>
      <c r="I4" s="21"/>
      <c r="J4" s="21"/>
      <c r="K4" s="19">
        <f>SUM(K5:K12)</f>
        <v>839</v>
      </c>
      <c r="L4" s="25">
        <v>214.52</v>
      </c>
      <c r="M4" s="19">
        <f>SUM(M5:M12)</f>
        <v>35</v>
      </c>
      <c r="N4" s="19">
        <f>K4/M4</f>
        <v>23.971428571428572</v>
      </c>
    </row>
    <row r="5" spans="1:14" x14ac:dyDescent="0.45">
      <c r="A5" s="22"/>
      <c r="B5" s="23"/>
      <c r="C5" s="26" t="s">
        <v>28</v>
      </c>
      <c r="D5" s="27" t="s">
        <v>102</v>
      </c>
      <c r="E5" s="27" t="s">
        <v>15</v>
      </c>
      <c r="F5" s="27" t="str">
        <f>F4</f>
        <v>A.019</v>
      </c>
      <c r="G5" s="27" t="str">
        <f>G4</f>
        <v>O</v>
      </c>
      <c r="H5" s="28" t="s">
        <v>103</v>
      </c>
      <c r="I5" s="28" t="s">
        <v>117</v>
      </c>
      <c r="J5" s="89">
        <v>255</v>
      </c>
      <c r="K5" s="27">
        <f>M5*N5</f>
        <v>120</v>
      </c>
      <c r="L5" s="29">
        <v>30.6</v>
      </c>
      <c r="M5" s="27">
        <v>5</v>
      </c>
      <c r="N5" s="27">
        <f>$N$2</f>
        <v>24</v>
      </c>
    </row>
    <row r="6" spans="1:14" x14ac:dyDescent="0.45">
      <c r="A6" s="22"/>
      <c r="B6" s="23"/>
      <c r="C6" s="26" t="s">
        <v>29</v>
      </c>
      <c r="D6" s="27" t="s">
        <v>102</v>
      </c>
      <c r="E6" s="27" t="s">
        <v>15</v>
      </c>
      <c r="F6" s="27" t="str">
        <f>F4</f>
        <v>A.019</v>
      </c>
      <c r="G6" s="27" t="str">
        <f>G4</f>
        <v>O</v>
      </c>
      <c r="H6" s="28" t="s">
        <v>103</v>
      </c>
      <c r="I6" s="28" t="s">
        <v>117</v>
      </c>
      <c r="J6" s="89">
        <v>255</v>
      </c>
      <c r="K6" s="27">
        <f t="shared" ref="K6:K12" si="0">M6*N6</f>
        <v>120</v>
      </c>
      <c r="L6" s="29">
        <v>30.6</v>
      </c>
      <c r="M6" s="27">
        <v>5</v>
      </c>
      <c r="N6" s="27">
        <f t="shared" ref="N6:N12" si="1">$N$2</f>
        <v>24</v>
      </c>
    </row>
    <row r="7" spans="1:14" x14ac:dyDescent="0.45">
      <c r="A7" s="22"/>
      <c r="B7" s="23"/>
      <c r="C7" s="26" t="s">
        <v>30</v>
      </c>
      <c r="D7" s="27" t="s">
        <v>102</v>
      </c>
      <c r="E7" s="27" t="s">
        <v>15</v>
      </c>
      <c r="F7" s="27" t="str">
        <f>F4</f>
        <v>A.019</v>
      </c>
      <c r="G7" s="27" t="str">
        <f>G4</f>
        <v>O</v>
      </c>
      <c r="H7" s="28" t="s">
        <v>103</v>
      </c>
      <c r="I7" s="28" t="s">
        <v>117</v>
      </c>
      <c r="J7" s="89">
        <v>255</v>
      </c>
      <c r="K7" s="27">
        <f t="shared" si="0"/>
        <v>120</v>
      </c>
      <c r="L7" s="29">
        <v>30.6</v>
      </c>
      <c r="M7" s="27">
        <v>5</v>
      </c>
      <c r="N7" s="27">
        <f t="shared" si="1"/>
        <v>24</v>
      </c>
    </row>
    <row r="8" spans="1:14" x14ac:dyDescent="0.45">
      <c r="A8" s="22"/>
      <c r="B8" s="23"/>
      <c r="C8" s="26" t="s">
        <v>31</v>
      </c>
      <c r="D8" s="27" t="s">
        <v>102</v>
      </c>
      <c r="E8" s="27" t="s">
        <v>15</v>
      </c>
      <c r="F8" s="27" t="str">
        <f>F4</f>
        <v>A.019</v>
      </c>
      <c r="G8" s="27" t="str">
        <f>G4</f>
        <v>O</v>
      </c>
      <c r="H8" s="28" t="s">
        <v>103</v>
      </c>
      <c r="I8" s="28" t="s">
        <v>117</v>
      </c>
      <c r="J8" s="89">
        <v>255</v>
      </c>
      <c r="K8" s="27">
        <f t="shared" si="0"/>
        <v>96</v>
      </c>
      <c r="L8" s="29">
        <v>24.48</v>
      </c>
      <c r="M8" s="27">
        <v>4</v>
      </c>
      <c r="N8" s="27">
        <f t="shared" si="1"/>
        <v>24</v>
      </c>
    </row>
    <row r="9" spans="1:14" x14ac:dyDescent="0.45">
      <c r="A9" s="22"/>
      <c r="B9" s="23"/>
      <c r="C9" s="30" t="s">
        <v>18</v>
      </c>
      <c r="D9" s="31" t="s">
        <v>102</v>
      </c>
      <c r="E9" s="31" t="s">
        <v>15</v>
      </c>
      <c r="F9" s="31" t="str">
        <f>F5</f>
        <v>A.019</v>
      </c>
      <c r="G9" s="31"/>
      <c r="H9" s="32" t="s">
        <v>116</v>
      </c>
      <c r="I9" s="32" t="s">
        <v>121</v>
      </c>
      <c r="J9" s="90">
        <v>280</v>
      </c>
      <c r="K9" s="31">
        <v>23</v>
      </c>
      <c r="L9" s="33">
        <v>6.44</v>
      </c>
      <c r="M9" s="31">
        <v>1</v>
      </c>
      <c r="N9" s="27">
        <v>23</v>
      </c>
    </row>
    <row r="10" spans="1:14" x14ac:dyDescent="0.45">
      <c r="A10" s="22"/>
      <c r="B10" s="23"/>
      <c r="C10" s="26" t="s">
        <v>32</v>
      </c>
      <c r="D10" s="27" t="s">
        <v>102</v>
      </c>
      <c r="E10" s="27" t="s">
        <v>15</v>
      </c>
      <c r="F10" s="27" t="str">
        <f>F4</f>
        <v>A.019</v>
      </c>
      <c r="G10" s="27" t="str">
        <f>G4</f>
        <v>O</v>
      </c>
      <c r="H10" s="28" t="s">
        <v>103</v>
      </c>
      <c r="I10" s="28" t="s">
        <v>117</v>
      </c>
      <c r="J10" s="89">
        <v>255</v>
      </c>
      <c r="K10" s="27">
        <f t="shared" si="0"/>
        <v>120</v>
      </c>
      <c r="L10" s="29">
        <v>30.6</v>
      </c>
      <c r="M10" s="27">
        <v>5</v>
      </c>
      <c r="N10" s="27">
        <f t="shared" si="1"/>
        <v>24</v>
      </c>
    </row>
    <row r="11" spans="1:14" x14ac:dyDescent="0.45">
      <c r="A11" s="22"/>
      <c r="B11" s="23"/>
      <c r="C11" s="26" t="s">
        <v>33</v>
      </c>
      <c r="D11" s="27" t="s">
        <v>102</v>
      </c>
      <c r="E11" s="27" t="s">
        <v>15</v>
      </c>
      <c r="F11" s="27" t="str">
        <f>F4</f>
        <v>A.019</v>
      </c>
      <c r="G11" s="27" t="str">
        <f>G4</f>
        <v>O</v>
      </c>
      <c r="H11" s="28" t="s">
        <v>103</v>
      </c>
      <c r="I11" s="28" t="s">
        <v>117</v>
      </c>
      <c r="J11" s="89">
        <v>255</v>
      </c>
      <c r="K11" s="27">
        <f t="shared" si="0"/>
        <v>120</v>
      </c>
      <c r="L11" s="29">
        <v>30.6</v>
      </c>
      <c r="M11" s="27">
        <v>5</v>
      </c>
      <c r="N11" s="27">
        <f t="shared" si="1"/>
        <v>24</v>
      </c>
    </row>
    <row r="12" spans="1:14" x14ac:dyDescent="0.45">
      <c r="A12" s="22"/>
      <c r="B12" s="23"/>
      <c r="C12" s="26" t="s">
        <v>34</v>
      </c>
      <c r="D12" s="27" t="s">
        <v>102</v>
      </c>
      <c r="E12" s="27" t="s">
        <v>15</v>
      </c>
      <c r="F12" s="27" t="str">
        <f>F4</f>
        <v>A.019</v>
      </c>
      <c r="G12" s="27" t="str">
        <f>G4</f>
        <v>O</v>
      </c>
      <c r="H12" s="28" t="s">
        <v>103</v>
      </c>
      <c r="I12" s="28" t="s">
        <v>117</v>
      </c>
      <c r="J12" s="89">
        <v>255</v>
      </c>
      <c r="K12" s="27">
        <f t="shared" si="0"/>
        <v>120</v>
      </c>
      <c r="L12" s="29">
        <v>30.6</v>
      </c>
      <c r="M12" s="27">
        <v>5</v>
      </c>
      <c r="N12" s="27">
        <f t="shared" si="1"/>
        <v>24</v>
      </c>
    </row>
    <row r="13" spans="1:14" x14ac:dyDescent="0.45">
      <c r="A13" s="22"/>
      <c r="B13" s="23"/>
      <c r="C13" s="34" t="s">
        <v>35</v>
      </c>
      <c r="D13" s="19" t="s">
        <v>14</v>
      </c>
      <c r="E13" s="19" t="s">
        <v>15</v>
      </c>
      <c r="F13" s="19" t="s">
        <v>19</v>
      </c>
      <c r="G13" s="20" t="s">
        <v>17</v>
      </c>
      <c r="H13" s="19"/>
      <c r="I13" s="19"/>
      <c r="J13" s="91"/>
      <c r="K13" s="19">
        <f>SUM(K14:K20)</f>
        <v>840</v>
      </c>
      <c r="L13" s="25">
        <v>214.2</v>
      </c>
      <c r="M13" s="19">
        <f>SUM(M14:M20)</f>
        <v>35</v>
      </c>
      <c r="N13" s="19">
        <f t="shared" ref="N13:N71" si="2">K13/M13</f>
        <v>24</v>
      </c>
    </row>
    <row r="14" spans="1:14" x14ac:dyDescent="0.45">
      <c r="A14" s="22"/>
      <c r="B14" s="23"/>
      <c r="C14" s="35" t="s">
        <v>36</v>
      </c>
      <c r="D14" s="36" t="s">
        <v>102</v>
      </c>
      <c r="E14" s="36" t="s">
        <v>15</v>
      </c>
      <c r="F14" s="36" t="str">
        <f>F13</f>
        <v>A.014</v>
      </c>
      <c r="G14" s="36" t="str">
        <f>G13</f>
        <v>O</v>
      </c>
      <c r="H14" s="37" t="s">
        <v>103</v>
      </c>
      <c r="I14" s="37" t="s">
        <v>117</v>
      </c>
      <c r="J14" s="92">
        <v>255</v>
      </c>
      <c r="K14" s="36">
        <f>M14*N14</f>
        <v>120</v>
      </c>
      <c r="L14" s="38">
        <v>30.6</v>
      </c>
      <c r="M14" s="36">
        <v>5</v>
      </c>
      <c r="N14" s="36">
        <f>$N$2</f>
        <v>24</v>
      </c>
    </row>
    <row r="15" spans="1:14" x14ac:dyDescent="0.45">
      <c r="A15" s="22"/>
      <c r="B15" s="23"/>
      <c r="C15" s="35" t="s">
        <v>37</v>
      </c>
      <c r="D15" s="36" t="s">
        <v>102</v>
      </c>
      <c r="E15" s="36" t="s">
        <v>15</v>
      </c>
      <c r="F15" s="36" t="str">
        <f>F13</f>
        <v>A.014</v>
      </c>
      <c r="G15" s="36" t="str">
        <f>G13</f>
        <v>O</v>
      </c>
      <c r="H15" s="37" t="s">
        <v>103</v>
      </c>
      <c r="I15" s="37" t="s">
        <v>117</v>
      </c>
      <c r="J15" s="92">
        <v>255</v>
      </c>
      <c r="K15" s="36">
        <f t="shared" ref="K15:K20" si="3">M15*N15</f>
        <v>120</v>
      </c>
      <c r="L15" s="38">
        <v>30.6</v>
      </c>
      <c r="M15" s="36">
        <v>5</v>
      </c>
      <c r="N15" s="36">
        <f t="shared" ref="N15:N20" si="4">$N$2</f>
        <v>24</v>
      </c>
    </row>
    <row r="16" spans="1:14" x14ac:dyDescent="0.45">
      <c r="A16" s="22"/>
      <c r="B16" s="23"/>
      <c r="C16" s="35" t="s">
        <v>38</v>
      </c>
      <c r="D16" s="36" t="s">
        <v>102</v>
      </c>
      <c r="E16" s="36" t="s">
        <v>15</v>
      </c>
      <c r="F16" s="36" t="str">
        <f>F13</f>
        <v>A.014</v>
      </c>
      <c r="G16" s="36" t="str">
        <f>G13</f>
        <v>O</v>
      </c>
      <c r="H16" s="37" t="s">
        <v>103</v>
      </c>
      <c r="I16" s="37" t="s">
        <v>117</v>
      </c>
      <c r="J16" s="92">
        <v>255</v>
      </c>
      <c r="K16" s="36">
        <f t="shared" si="3"/>
        <v>120</v>
      </c>
      <c r="L16" s="38">
        <v>30.6</v>
      </c>
      <c r="M16" s="36">
        <v>5</v>
      </c>
      <c r="N16" s="36">
        <f t="shared" si="4"/>
        <v>24</v>
      </c>
    </row>
    <row r="17" spans="1:14" x14ac:dyDescent="0.45">
      <c r="A17" s="22"/>
      <c r="B17" s="23"/>
      <c r="C17" s="35" t="s">
        <v>39</v>
      </c>
      <c r="D17" s="36" t="s">
        <v>102</v>
      </c>
      <c r="E17" s="36" t="s">
        <v>15</v>
      </c>
      <c r="F17" s="36" t="str">
        <f>F13</f>
        <v>A.014</v>
      </c>
      <c r="G17" s="36" t="str">
        <f>G13</f>
        <v>O</v>
      </c>
      <c r="H17" s="37" t="s">
        <v>103</v>
      </c>
      <c r="I17" s="37" t="s">
        <v>117</v>
      </c>
      <c r="J17" s="92">
        <v>255</v>
      </c>
      <c r="K17" s="36">
        <f t="shared" si="3"/>
        <v>120</v>
      </c>
      <c r="L17" s="38">
        <v>30.6</v>
      </c>
      <c r="M17" s="36">
        <v>5</v>
      </c>
      <c r="N17" s="36">
        <f t="shared" si="4"/>
        <v>24</v>
      </c>
    </row>
    <row r="18" spans="1:14" x14ac:dyDescent="0.45">
      <c r="A18" s="22"/>
      <c r="B18" s="23"/>
      <c r="C18" s="35" t="s">
        <v>40</v>
      </c>
      <c r="D18" s="36" t="s">
        <v>102</v>
      </c>
      <c r="E18" s="36" t="s">
        <v>15</v>
      </c>
      <c r="F18" s="36" t="str">
        <f>F13</f>
        <v>A.014</v>
      </c>
      <c r="G18" s="36" t="str">
        <f>G13</f>
        <v>O</v>
      </c>
      <c r="H18" s="37" t="s">
        <v>103</v>
      </c>
      <c r="I18" s="37" t="s">
        <v>117</v>
      </c>
      <c r="J18" s="92">
        <v>255</v>
      </c>
      <c r="K18" s="36">
        <f t="shared" si="3"/>
        <v>120</v>
      </c>
      <c r="L18" s="38">
        <v>30.6</v>
      </c>
      <c r="M18" s="36">
        <v>5</v>
      </c>
      <c r="N18" s="36">
        <f t="shared" si="4"/>
        <v>24</v>
      </c>
    </row>
    <row r="19" spans="1:14" x14ac:dyDescent="0.45">
      <c r="A19" s="22"/>
      <c r="B19" s="23"/>
      <c r="C19" s="35" t="s">
        <v>41</v>
      </c>
      <c r="D19" s="36" t="s">
        <v>102</v>
      </c>
      <c r="E19" s="36" t="s">
        <v>15</v>
      </c>
      <c r="F19" s="36" t="str">
        <f>F13</f>
        <v>A.014</v>
      </c>
      <c r="G19" s="36" t="str">
        <f>G13</f>
        <v>O</v>
      </c>
      <c r="H19" s="37" t="s">
        <v>103</v>
      </c>
      <c r="I19" s="37" t="s">
        <v>117</v>
      </c>
      <c r="J19" s="92">
        <v>255</v>
      </c>
      <c r="K19" s="36">
        <f t="shared" si="3"/>
        <v>120</v>
      </c>
      <c r="L19" s="38">
        <v>30.6</v>
      </c>
      <c r="M19" s="36">
        <v>5</v>
      </c>
      <c r="N19" s="36">
        <f t="shared" si="4"/>
        <v>24</v>
      </c>
    </row>
    <row r="20" spans="1:14" x14ac:dyDescent="0.45">
      <c r="A20" s="22"/>
      <c r="B20" s="23"/>
      <c r="C20" s="35" t="s">
        <v>42</v>
      </c>
      <c r="D20" s="36" t="s">
        <v>102</v>
      </c>
      <c r="E20" s="36" t="s">
        <v>15</v>
      </c>
      <c r="F20" s="36" t="str">
        <f>F13</f>
        <v>A.014</v>
      </c>
      <c r="G20" s="36" t="str">
        <f>G13</f>
        <v>O</v>
      </c>
      <c r="H20" s="37" t="s">
        <v>103</v>
      </c>
      <c r="I20" s="37" t="s">
        <v>117</v>
      </c>
      <c r="J20" s="92">
        <v>255</v>
      </c>
      <c r="K20" s="36">
        <f t="shared" si="3"/>
        <v>120</v>
      </c>
      <c r="L20" s="38">
        <v>30.6</v>
      </c>
      <c r="M20" s="36">
        <v>5</v>
      </c>
      <c r="N20" s="36">
        <f t="shared" si="4"/>
        <v>24</v>
      </c>
    </row>
    <row r="21" spans="1:14" x14ac:dyDescent="0.45">
      <c r="A21" s="22"/>
      <c r="B21" s="23"/>
      <c r="C21" s="34" t="s">
        <v>43</v>
      </c>
      <c r="D21" s="19" t="s">
        <v>14</v>
      </c>
      <c r="E21" s="19" t="s">
        <v>15</v>
      </c>
      <c r="F21" s="19" t="s">
        <v>20</v>
      </c>
      <c r="G21" s="20" t="s">
        <v>17</v>
      </c>
      <c r="H21" s="19"/>
      <c r="I21" s="19"/>
      <c r="J21" s="91"/>
      <c r="K21" s="19">
        <f>SUM(K22:K28)</f>
        <v>840</v>
      </c>
      <c r="L21" s="25">
        <v>210.6</v>
      </c>
      <c r="M21" s="19">
        <f>SUM(M22:M28)</f>
        <v>35</v>
      </c>
      <c r="N21" s="19">
        <f t="shared" si="2"/>
        <v>24</v>
      </c>
    </row>
    <row r="22" spans="1:14" x14ac:dyDescent="0.45">
      <c r="A22" s="22"/>
      <c r="B22" s="23"/>
      <c r="C22" s="39" t="s">
        <v>44</v>
      </c>
      <c r="D22" s="40" t="s">
        <v>102</v>
      </c>
      <c r="E22" s="40" t="s">
        <v>15</v>
      </c>
      <c r="F22" s="40" t="str">
        <f>F21</f>
        <v>A.010</v>
      </c>
      <c r="G22" s="40" t="str">
        <f>G21</f>
        <v>O</v>
      </c>
      <c r="H22" s="41" t="s">
        <v>104</v>
      </c>
      <c r="I22" s="41" t="s">
        <v>117</v>
      </c>
      <c r="J22" s="93">
        <v>250</v>
      </c>
      <c r="K22" s="40">
        <f>M22*N22</f>
        <v>120</v>
      </c>
      <c r="L22" s="42">
        <v>30</v>
      </c>
      <c r="M22" s="40">
        <v>5</v>
      </c>
      <c r="N22" s="40">
        <f>$N$2</f>
        <v>24</v>
      </c>
    </row>
    <row r="23" spans="1:14" x14ac:dyDescent="0.45">
      <c r="A23" s="22"/>
      <c r="B23" s="23"/>
      <c r="C23" s="39" t="s">
        <v>45</v>
      </c>
      <c r="D23" s="40" t="s">
        <v>102</v>
      </c>
      <c r="E23" s="40" t="s">
        <v>15</v>
      </c>
      <c r="F23" s="40" t="str">
        <f>F21</f>
        <v>A.010</v>
      </c>
      <c r="G23" s="40" t="str">
        <f>G21</f>
        <v>O</v>
      </c>
      <c r="H23" s="41" t="s">
        <v>104</v>
      </c>
      <c r="I23" s="41" t="s">
        <v>117</v>
      </c>
      <c r="J23" s="93">
        <v>250</v>
      </c>
      <c r="K23" s="40">
        <f t="shared" ref="K23:K28" si="5">M23*N23</f>
        <v>120</v>
      </c>
      <c r="L23" s="42">
        <v>30</v>
      </c>
      <c r="M23" s="40">
        <v>5</v>
      </c>
      <c r="N23" s="40">
        <f t="shared" ref="N23:N28" si="6">$N$2</f>
        <v>24</v>
      </c>
    </row>
    <row r="24" spans="1:14" x14ac:dyDescent="0.45">
      <c r="A24" s="22"/>
      <c r="B24" s="23"/>
      <c r="C24" s="39" t="s">
        <v>46</v>
      </c>
      <c r="D24" s="40" t="s">
        <v>102</v>
      </c>
      <c r="E24" s="40" t="s">
        <v>15</v>
      </c>
      <c r="F24" s="40" t="str">
        <f>F21</f>
        <v>A.010</v>
      </c>
      <c r="G24" s="40" t="str">
        <f>G21</f>
        <v>O</v>
      </c>
      <c r="H24" s="41" t="s">
        <v>104</v>
      </c>
      <c r="I24" s="41" t="s">
        <v>117</v>
      </c>
      <c r="J24" s="93">
        <v>250</v>
      </c>
      <c r="K24" s="40">
        <f t="shared" si="5"/>
        <v>120</v>
      </c>
      <c r="L24" s="42">
        <v>30</v>
      </c>
      <c r="M24" s="40">
        <v>5</v>
      </c>
      <c r="N24" s="40">
        <f t="shared" si="6"/>
        <v>24</v>
      </c>
    </row>
    <row r="25" spans="1:14" x14ac:dyDescent="0.45">
      <c r="A25" s="22"/>
      <c r="B25" s="23"/>
      <c r="C25" s="39" t="s">
        <v>47</v>
      </c>
      <c r="D25" s="40" t="s">
        <v>102</v>
      </c>
      <c r="E25" s="40" t="s">
        <v>15</v>
      </c>
      <c r="F25" s="40" t="str">
        <f>F21</f>
        <v>A.010</v>
      </c>
      <c r="G25" s="40" t="str">
        <f>G21</f>
        <v>O</v>
      </c>
      <c r="H25" s="41" t="s">
        <v>104</v>
      </c>
      <c r="I25" s="41" t="s">
        <v>117</v>
      </c>
      <c r="J25" s="93">
        <v>250</v>
      </c>
      <c r="K25" s="40">
        <f t="shared" si="5"/>
        <v>120</v>
      </c>
      <c r="L25" s="42">
        <v>30</v>
      </c>
      <c r="M25" s="40">
        <v>5</v>
      </c>
      <c r="N25" s="40">
        <f t="shared" si="6"/>
        <v>24</v>
      </c>
    </row>
    <row r="26" spans="1:14" x14ac:dyDescent="0.45">
      <c r="A26" s="22"/>
      <c r="B26" s="23"/>
      <c r="C26" s="39" t="s">
        <v>48</v>
      </c>
      <c r="D26" s="40" t="s">
        <v>102</v>
      </c>
      <c r="E26" s="40" t="s">
        <v>15</v>
      </c>
      <c r="F26" s="40" t="str">
        <f>F21</f>
        <v>A.010</v>
      </c>
      <c r="G26" s="40" t="str">
        <f>G21</f>
        <v>O</v>
      </c>
      <c r="H26" s="41" t="s">
        <v>104</v>
      </c>
      <c r="I26" s="41" t="s">
        <v>117</v>
      </c>
      <c r="J26" s="93">
        <v>250</v>
      </c>
      <c r="K26" s="40">
        <f t="shared" si="5"/>
        <v>120</v>
      </c>
      <c r="L26" s="42">
        <v>30</v>
      </c>
      <c r="M26" s="40">
        <v>5</v>
      </c>
      <c r="N26" s="40">
        <f t="shared" si="6"/>
        <v>24</v>
      </c>
    </row>
    <row r="27" spans="1:14" x14ac:dyDescent="0.45">
      <c r="A27" s="22"/>
      <c r="B27" s="23"/>
      <c r="C27" s="39" t="s">
        <v>49</v>
      </c>
      <c r="D27" s="40" t="s">
        <v>102</v>
      </c>
      <c r="E27" s="40" t="s">
        <v>15</v>
      </c>
      <c r="F27" s="40" t="str">
        <f>F21</f>
        <v>A.010</v>
      </c>
      <c r="G27" s="40" t="str">
        <f>G21</f>
        <v>O</v>
      </c>
      <c r="H27" s="41" t="s">
        <v>104</v>
      </c>
      <c r="I27" s="41" t="s">
        <v>117</v>
      </c>
      <c r="J27" s="93">
        <v>250</v>
      </c>
      <c r="K27" s="40">
        <f t="shared" si="5"/>
        <v>120</v>
      </c>
      <c r="L27" s="42">
        <v>30</v>
      </c>
      <c r="M27" s="40">
        <v>5</v>
      </c>
      <c r="N27" s="40">
        <f t="shared" si="6"/>
        <v>24</v>
      </c>
    </row>
    <row r="28" spans="1:14" x14ac:dyDescent="0.45">
      <c r="A28" s="22"/>
      <c r="B28" s="23"/>
      <c r="C28" s="39" t="s">
        <v>50</v>
      </c>
      <c r="D28" s="40" t="s">
        <v>102</v>
      </c>
      <c r="E28" s="40" t="s">
        <v>15</v>
      </c>
      <c r="F28" s="40" t="str">
        <f>F21</f>
        <v>A.010</v>
      </c>
      <c r="G28" s="40" t="str">
        <f>G21</f>
        <v>O</v>
      </c>
      <c r="H28" s="41" t="s">
        <v>103</v>
      </c>
      <c r="I28" s="41" t="s">
        <v>117</v>
      </c>
      <c r="J28" s="93">
        <v>255</v>
      </c>
      <c r="K28" s="40">
        <f t="shared" si="5"/>
        <v>120</v>
      </c>
      <c r="L28" s="42">
        <v>30.6</v>
      </c>
      <c r="M28" s="40">
        <v>5</v>
      </c>
      <c r="N28" s="40">
        <f t="shared" si="6"/>
        <v>24</v>
      </c>
    </row>
    <row r="29" spans="1:14" x14ac:dyDescent="0.45">
      <c r="A29" s="22"/>
      <c r="B29" s="23"/>
      <c r="C29" s="34" t="s">
        <v>51</v>
      </c>
      <c r="D29" s="19" t="s">
        <v>14</v>
      </c>
      <c r="E29" s="19" t="s">
        <v>15</v>
      </c>
      <c r="F29" s="19" t="s">
        <v>21</v>
      </c>
      <c r="G29" s="20" t="s">
        <v>17</v>
      </c>
      <c r="H29" s="19"/>
      <c r="I29" s="19"/>
      <c r="J29" s="91"/>
      <c r="K29" s="19">
        <f>SUM(K30:K38)</f>
        <v>840</v>
      </c>
      <c r="L29" s="25">
        <v>201.72000000000003</v>
      </c>
      <c r="M29" s="19">
        <f>SUM(M30:M38)</f>
        <v>35</v>
      </c>
      <c r="N29" s="19">
        <f t="shared" si="2"/>
        <v>24</v>
      </c>
    </row>
    <row r="30" spans="1:14" x14ac:dyDescent="0.45">
      <c r="A30" s="22"/>
      <c r="B30" s="23"/>
      <c r="C30" s="43" t="s">
        <v>52</v>
      </c>
      <c r="D30" s="44" t="s">
        <v>102</v>
      </c>
      <c r="E30" s="44" t="s">
        <v>15</v>
      </c>
      <c r="F30" s="44" t="str">
        <f>F29</f>
        <v>A.007</v>
      </c>
      <c r="G30" s="44" t="str">
        <f>G29</f>
        <v>O</v>
      </c>
      <c r="H30" s="45" t="s">
        <v>107</v>
      </c>
      <c r="I30" s="45" t="s">
        <v>117</v>
      </c>
      <c r="J30" s="94">
        <v>235</v>
      </c>
      <c r="K30" s="44">
        <f>M30*N30</f>
        <v>120</v>
      </c>
      <c r="L30" s="46">
        <v>28.2</v>
      </c>
      <c r="M30" s="44">
        <v>5</v>
      </c>
      <c r="N30" s="44">
        <f>$N$2</f>
        <v>24</v>
      </c>
    </row>
    <row r="31" spans="1:14" x14ac:dyDescent="0.45">
      <c r="A31" s="22"/>
      <c r="B31" s="23"/>
      <c r="C31" s="43" t="s">
        <v>53</v>
      </c>
      <c r="D31" s="44" t="s">
        <v>102</v>
      </c>
      <c r="E31" s="44" t="s">
        <v>15</v>
      </c>
      <c r="F31" s="44" t="str">
        <f>F29</f>
        <v>A.007</v>
      </c>
      <c r="G31" s="44" t="str">
        <f>G29</f>
        <v>O</v>
      </c>
      <c r="H31" s="45" t="s">
        <v>107</v>
      </c>
      <c r="I31" s="45" t="s">
        <v>117</v>
      </c>
      <c r="J31" s="94">
        <v>235</v>
      </c>
      <c r="K31" s="44">
        <f t="shared" ref="K31:K38" si="7">M31*N31</f>
        <v>120</v>
      </c>
      <c r="L31" s="46">
        <v>28.2</v>
      </c>
      <c r="M31" s="44">
        <v>5</v>
      </c>
      <c r="N31" s="44">
        <f t="shared" ref="N31:N38" si="8">$N$2</f>
        <v>24</v>
      </c>
    </row>
    <row r="32" spans="1:14" x14ac:dyDescent="0.45">
      <c r="A32" s="22"/>
      <c r="B32" s="23"/>
      <c r="C32" s="43" t="s">
        <v>54</v>
      </c>
      <c r="D32" s="44" t="s">
        <v>102</v>
      </c>
      <c r="E32" s="44" t="s">
        <v>15</v>
      </c>
      <c r="F32" s="44" t="str">
        <f>F29</f>
        <v>A.007</v>
      </c>
      <c r="G32" s="44" t="str">
        <f>G29</f>
        <v>O</v>
      </c>
      <c r="H32" s="45" t="s">
        <v>107</v>
      </c>
      <c r="I32" s="45" t="s">
        <v>117</v>
      </c>
      <c r="J32" s="94">
        <v>235</v>
      </c>
      <c r="K32" s="44">
        <f t="shared" si="7"/>
        <v>120</v>
      </c>
      <c r="L32" s="46">
        <v>28.2</v>
      </c>
      <c r="M32" s="44">
        <v>5</v>
      </c>
      <c r="N32" s="44">
        <f t="shared" si="8"/>
        <v>24</v>
      </c>
    </row>
    <row r="33" spans="1:14" x14ac:dyDescent="0.45">
      <c r="A33" s="22"/>
      <c r="B33" s="23"/>
      <c r="C33" s="43" t="s">
        <v>55</v>
      </c>
      <c r="D33" s="44" t="s">
        <v>102</v>
      </c>
      <c r="E33" s="44" t="s">
        <v>15</v>
      </c>
      <c r="F33" s="44" t="str">
        <f>F29</f>
        <v>A.007</v>
      </c>
      <c r="G33" s="44" t="str">
        <f>G29</f>
        <v>O</v>
      </c>
      <c r="H33" s="45" t="s">
        <v>107</v>
      </c>
      <c r="I33" s="45" t="s">
        <v>117</v>
      </c>
      <c r="J33" s="94">
        <v>235</v>
      </c>
      <c r="K33" s="44">
        <f t="shared" si="7"/>
        <v>120</v>
      </c>
      <c r="L33" s="46">
        <v>28.2</v>
      </c>
      <c r="M33" s="44">
        <v>5</v>
      </c>
      <c r="N33" s="44">
        <f t="shared" si="8"/>
        <v>24</v>
      </c>
    </row>
    <row r="34" spans="1:14" x14ac:dyDescent="0.45">
      <c r="A34" s="22"/>
      <c r="B34" s="23"/>
      <c r="C34" s="47" t="s">
        <v>56</v>
      </c>
      <c r="D34" s="48" t="s">
        <v>102</v>
      </c>
      <c r="E34" s="48" t="s">
        <v>15</v>
      </c>
      <c r="F34" s="48" t="str">
        <f>F29</f>
        <v>A.007</v>
      </c>
      <c r="G34" s="48" t="str">
        <f>G29</f>
        <v>O</v>
      </c>
      <c r="H34" s="45" t="s">
        <v>104</v>
      </c>
      <c r="I34" s="45" t="s">
        <v>117</v>
      </c>
      <c r="J34" s="94">
        <v>250</v>
      </c>
      <c r="K34" s="44">
        <f>M34*N34</f>
        <v>72</v>
      </c>
      <c r="L34" s="46">
        <v>18</v>
      </c>
      <c r="M34" s="44">
        <v>3</v>
      </c>
      <c r="N34" s="44">
        <f t="shared" si="8"/>
        <v>24</v>
      </c>
    </row>
    <row r="35" spans="1:14" x14ac:dyDescent="0.45">
      <c r="A35" s="22"/>
      <c r="B35" s="23"/>
      <c r="C35" s="49"/>
      <c r="D35" s="50"/>
      <c r="E35" s="50"/>
      <c r="F35" s="50"/>
      <c r="G35" s="50"/>
      <c r="H35" s="45" t="s">
        <v>103</v>
      </c>
      <c r="I35" s="45" t="s">
        <v>117</v>
      </c>
      <c r="J35" s="94">
        <v>255</v>
      </c>
      <c r="K35" s="44">
        <f t="shared" ref="K35" si="9">M35*N35</f>
        <v>48</v>
      </c>
      <c r="L35" s="46">
        <v>12.24</v>
      </c>
      <c r="M35" s="44">
        <v>2</v>
      </c>
      <c r="N35" s="44">
        <f t="shared" si="8"/>
        <v>24</v>
      </c>
    </row>
    <row r="36" spans="1:14" x14ac:dyDescent="0.45">
      <c r="A36" s="22"/>
      <c r="B36" s="23"/>
      <c r="C36" s="47" t="s">
        <v>57</v>
      </c>
      <c r="D36" s="48" t="s">
        <v>102</v>
      </c>
      <c r="E36" s="48" t="s">
        <v>15</v>
      </c>
      <c r="F36" s="48" t="str">
        <f>F29</f>
        <v>A.007</v>
      </c>
      <c r="G36" s="48" t="str">
        <f>G29</f>
        <v>O</v>
      </c>
      <c r="H36" s="45" t="s">
        <v>105</v>
      </c>
      <c r="I36" s="45" t="s">
        <v>117</v>
      </c>
      <c r="J36" s="94">
        <v>245</v>
      </c>
      <c r="K36" s="44">
        <f t="shared" si="7"/>
        <v>96</v>
      </c>
      <c r="L36" s="46">
        <v>23.52</v>
      </c>
      <c r="M36" s="44">
        <v>4</v>
      </c>
      <c r="N36" s="44">
        <f t="shared" si="8"/>
        <v>24</v>
      </c>
    </row>
    <row r="37" spans="1:14" x14ac:dyDescent="0.45">
      <c r="A37" s="22"/>
      <c r="B37" s="23"/>
      <c r="C37" s="49"/>
      <c r="D37" s="50"/>
      <c r="E37" s="50"/>
      <c r="F37" s="50"/>
      <c r="G37" s="50"/>
      <c r="H37" s="45" t="s">
        <v>106</v>
      </c>
      <c r="I37" s="45" t="s">
        <v>117</v>
      </c>
      <c r="J37" s="94">
        <v>240</v>
      </c>
      <c r="K37" s="44">
        <f t="shared" si="7"/>
        <v>24</v>
      </c>
      <c r="L37" s="46">
        <v>5.76</v>
      </c>
      <c r="M37" s="44">
        <v>1</v>
      </c>
      <c r="N37" s="44">
        <f t="shared" si="8"/>
        <v>24</v>
      </c>
    </row>
    <row r="38" spans="1:14" x14ac:dyDescent="0.45">
      <c r="A38" s="22"/>
      <c r="B38" s="23"/>
      <c r="C38" s="43" t="s">
        <v>58</v>
      </c>
      <c r="D38" s="44" t="s">
        <v>102</v>
      </c>
      <c r="E38" s="44" t="s">
        <v>15</v>
      </c>
      <c r="F38" s="44" t="str">
        <f>F29</f>
        <v>A.007</v>
      </c>
      <c r="G38" s="44" t="str">
        <f>G29</f>
        <v>O</v>
      </c>
      <c r="H38" s="45" t="s">
        <v>105</v>
      </c>
      <c r="I38" s="45" t="s">
        <v>117</v>
      </c>
      <c r="J38" s="94">
        <v>245</v>
      </c>
      <c r="K38" s="44">
        <f t="shared" si="7"/>
        <v>120</v>
      </c>
      <c r="L38" s="46">
        <v>29.4</v>
      </c>
      <c r="M38" s="44">
        <v>5</v>
      </c>
      <c r="N38" s="44">
        <f t="shared" si="8"/>
        <v>24</v>
      </c>
    </row>
    <row r="39" spans="1:14" x14ac:dyDescent="0.45">
      <c r="A39" s="22"/>
      <c r="B39" s="23"/>
      <c r="C39" s="34" t="s">
        <v>59</v>
      </c>
      <c r="D39" s="19" t="s">
        <v>14</v>
      </c>
      <c r="E39" s="19" t="s">
        <v>15</v>
      </c>
      <c r="F39" s="19" t="s">
        <v>22</v>
      </c>
      <c r="G39" s="20" t="s">
        <v>17</v>
      </c>
      <c r="H39" s="19"/>
      <c r="I39" s="19"/>
      <c r="J39" s="91"/>
      <c r="K39" s="19">
        <f>SUM(K40:K47)</f>
        <v>788</v>
      </c>
      <c r="L39" s="25">
        <v>195.14000000000001</v>
      </c>
      <c r="M39" s="19">
        <f>SUM(M40:M47)</f>
        <v>34</v>
      </c>
      <c r="N39" s="19">
        <f t="shared" si="2"/>
        <v>23.176470588235293</v>
      </c>
    </row>
    <row r="40" spans="1:14" x14ac:dyDescent="0.45">
      <c r="A40" s="22"/>
      <c r="B40" s="23"/>
      <c r="C40" s="51" t="s">
        <v>60</v>
      </c>
      <c r="D40" s="52" t="s">
        <v>102</v>
      </c>
      <c r="E40" s="52" t="s">
        <v>15</v>
      </c>
      <c r="F40" s="52" t="str">
        <f>F39</f>
        <v>A.004</v>
      </c>
      <c r="G40" s="52" t="str">
        <f>G39</f>
        <v>O</v>
      </c>
      <c r="H40" s="53" t="s">
        <v>108</v>
      </c>
      <c r="I40" s="53" t="s">
        <v>118</v>
      </c>
      <c r="J40" s="95">
        <v>240</v>
      </c>
      <c r="K40" s="52">
        <f>M40*N40</f>
        <v>120</v>
      </c>
      <c r="L40" s="54">
        <v>28.8</v>
      </c>
      <c r="M40" s="52">
        <v>5</v>
      </c>
      <c r="N40" s="52">
        <f>$N$2</f>
        <v>24</v>
      </c>
    </row>
    <row r="41" spans="1:14" x14ac:dyDescent="0.45">
      <c r="A41" s="22"/>
      <c r="B41" s="23"/>
      <c r="C41" s="55" t="s">
        <v>61</v>
      </c>
      <c r="D41" s="56" t="s">
        <v>102</v>
      </c>
      <c r="E41" s="56" t="s">
        <v>15</v>
      </c>
      <c r="F41" s="56" t="str">
        <f>F39</f>
        <v>A.004</v>
      </c>
      <c r="G41" s="56" t="str">
        <f>G39</f>
        <v>O</v>
      </c>
      <c r="H41" s="53" t="s">
        <v>109</v>
      </c>
      <c r="I41" s="53" t="s">
        <v>118</v>
      </c>
      <c r="J41" s="95">
        <v>235</v>
      </c>
      <c r="K41" s="52">
        <f t="shared" ref="K41:K47" si="10">M41*N41</f>
        <v>24</v>
      </c>
      <c r="L41" s="54">
        <v>5.64</v>
      </c>
      <c r="M41" s="52">
        <v>1</v>
      </c>
      <c r="N41" s="52">
        <f t="shared" ref="N41:N47" si="11">$N$2</f>
        <v>24</v>
      </c>
    </row>
    <row r="42" spans="1:14" x14ac:dyDescent="0.45">
      <c r="A42" s="22"/>
      <c r="B42" s="23"/>
      <c r="C42" s="57"/>
      <c r="D42" s="58"/>
      <c r="E42" s="58"/>
      <c r="F42" s="58"/>
      <c r="G42" s="58"/>
      <c r="H42" s="53" t="s">
        <v>108</v>
      </c>
      <c r="I42" s="53" t="s">
        <v>118</v>
      </c>
      <c r="J42" s="95">
        <v>240</v>
      </c>
      <c r="K42" s="52">
        <f t="shared" si="10"/>
        <v>96</v>
      </c>
      <c r="L42" s="54">
        <v>23.04</v>
      </c>
      <c r="M42" s="52">
        <v>4</v>
      </c>
      <c r="N42" s="52">
        <f t="shared" si="11"/>
        <v>24</v>
      </c>
    </row>
    <row r="43" spans="1:14" x14ac:dyDescent="0.45">
      <c r="A43" s="22"/>
      <c r="B43" s="23"/>
      <c r="C43" s="51" t="s">
        <v>62</v>
      </c>
      <c r="D43" s="52" t="s">
        <v>102</v>
      </c>
      <c r="E43" s="52" t="s">
        <v>15</v>
      </c>
      <c r="F43" s="52" t="str">
        <f>F39</f>
        <v>A.004</v>
      </c>
      <c r="G43" s="52" t="str">
        <f>G39</f>
        <v>O</v>
      </c>
      <c r="H43" s="53" t="s">
        <v>108</v>
      </c>
      <c r="I43" s="53" t="s">
        <v>118</v>
      </c>
      <c r="J43" s="95">
        <v>240</v>
      </c>
      <c r="K43" s="52">
        <f t="shared" si="10"/>
        <v>120</v>
      </c>
      <c r="L43" s="54">
        <v>28.8</v>
      </c>
      <c r="M43" s="52">
        <v>5</v>
      </c>
      <c r="N43" s="52">
        <f t="shared" si="11"/>
        <v>24</v>
      </c>
    </row>
    <row r="44" spans="1:14" x14ac:dyDescent="0.45">
      <c r="A44" s="22"/>
      <c r="B44" s="23"/>
      <c r="C44" s="51" t="s">
        <v>63</v>
      </c>
      <c r="D44" s="52" t="s">
        <v>102</v>
      </c>
      <c r="E44" s="52" t="s">
        <v>15</v>
      </c>
      <c r="F44" s="52" t="str">
        <f>F39</f>
        <v>A.004</v>
      </c>
      <c r="G44" s="52" t="str">
        <f>G39</f>
        <v>O</v>
      </c>
      <c r="H44" s="53" t="s">
        <v>111</v>
      </c>
      <c r="I44" s="53" t="s">
        <v>119</v>
      </c>
      <c r="J44" s="95">
        <v>245</v>
      </c>
      <c r="K44" s="52">
        <f t="shared" si="10"/>
        <v>88</v>
      </c>
      <c r="L44" s="54">
        <v>21.56</v>
      </c>
      <c r="M44" s="52">
        <v>4</v>
      </c>
      <c r="N44" s="52">
        <v>22</v>
      </c>
    </row>
    <row r="45" spans="1:14" x14ac:dyDescent="0.45">
      <c r="A45" s="22"/>
      <c r="B45" s="23"/>
      <c r="C45" s="59" t="s">
        <v>64</v>
      </c>
      <c r="D45" s="88" t="s">
        <v>102</v>
      </c>
      <c r="E45" s="88" t="s">
        <v>15</v>
      </c>
      <c r="F45" s="88" t="str">
        <f>F39</f>
        <v>A.004</v>
      </c>
      <c r="G45" s="88" t="str">
        <f>G39</f>
        <v>O</v>
      </c>
      <c r="H45" s="53" t="s">
        <v>115</v>
      </c>
      <c r="I45" s="53" t="s">
        <v>120</v>
      </c>
      <c r="J45" s="95">
        <v>285</v>
      </c>
      <c r="K45" s="52">
        <f t="shared" si="10"/>
        <v>100</v>
      </c>
      <c r="L45" s="54">
        <v>28.5</v>
      </c>
      <c r="M45" s="52">
        <v>5</v>
      </c>
      <c r="N45" s="52">
        <v>20</v>
      </c>
    </row>
    <row r="46" spans="1:14" x14ac:dyDescent="0.45">
      <c r="A46" s="22"/>
      <c r="B46" s="23"/>
      <c r="C46" s="59" t="s">
        <v>65</v>
      </c>
      <c r="D46" s="52" t="s">
        <v>102</v>
      </c>
      <c r="E46" s="52" t="s">
        <v>15</v>
      </c>
      <c r="F46" s="52" t="str">
        <f>F39</f>
        <v>A.004</v>
      </c>
      <c r="G46" s="52" t="str">
        <f>G39</f>
        <v>O</v>
      </c>
      <c r="H46" s="53" t="s">
        <v>105</v>
      </c>
      <c r="I46" s="53" t="s">
        <v>117</v>
      </c>
      <c r="J46" s="95">
        <v>245</v>
      </c>
      <c r="K46" s="52">
        <f t="shared" si="10"/>
        <v>120</v>
      </c>
      <c r="L46" s="54">
        <v>29.4</v>
      </c>
      <c r="M46" s="52">
        <v>5</v>
      </c>
      <c r="N46" s="52">
        <f t="shared" si="11"/>
        <v>24</v>
      </c>
    </row>
    <row r="47" spans="1:14" x14ac:dyDescent="0.45">
      <c r="A47" s="22"/>
      <c r="B47" s="23"/>
      <c r="C47" s="51" t="s">
        <v>66</v>
      </c>
      <c r="D47" s="52" t="s">
        <v>102</v>
      </c>
      <c r="E47" s="52" t="s">
        <v>15</v>
      </c>
      <c r="F47" s="52" t="str">
        <f>F39</f>
        <v>A.004</v>
      </c>
      <c r="G47" s="52" t="str">
        <f>G39</f>
        <v>O</v>
      </c>
      <c r="H47" s="53" t="s">
        <v>105</v>
      </c>
      <c r="I47" s="53" t="s">
        <v>117</v>
      </c>
      <c r="J47" s="95">
        <v>245</v>
      </c>
      <c r="K47" s="52">
        <f t="shared" si="10"/>
        <v>120</v>
      </c>
      <c r="L47" s="54">
        <v>29.4</v>
      </c>
      <c r="M47" s="52">
        <v>5</v>
      </c>
      <c r="N47" s="52">
        <f t="shared" si="11"/>
        <v>24</v>
      </c>
    </row>
    <row r="48" spans="1:14" x14ac:dyDescent="0.45">
      <c r="A48" s="22"/>
      <c r="B48" s="23"/>
      <c r="C48" s="34" t="s">
        <v>67</v>
      </c>
      <c r="D48" s="19" t="s">
        <v>14</v>
      </c>
      <c r="E48" s="19" t="s">
        <v>15</v>
      </c>
      <c r="F48" s="19" t="s">
        <v>23</v>
      </c>
      <c r="G48" s="20" t="s">
        <v>17</v>
      </c>
      <c r="H48" s="19"/>
      <c r="I48" s="19"/>
      <c r="J48" s="91"/>
      <c r="K48" s="19">
        <f>SUM(K49:K57)</f>
        <v>960</v>
      </c>
      <c r="L48" s="25">
        <v>244.43999999999997</v>
      </c>
      <c r="M48" s="19">
        <f>SUM(M49:M57)</f>
        <v>40</v>
      </c>
      <c r="N48" s="19">
        <f t="shared" si="2"/>
        <v>24</v>
      </c>
    </row>
    <row r="49" spans="1:14" x14ac:dyDescent="0.45">
      <c r="A49" s="22"/>
      <c r="B49" s="23"/>
      <c r="C49" s="60" t="s">
        <v>68</v>
      </c>
      <c r="D49" s="61" t="s">
        <v>102</v>
      </c>
      <c r="E49" s="61" t="s">
        <v>15</v>
      </c>
      <c r="F49" s="61" t="str">
        <f>F48</f>
        <v>B.018</v>
      </c>
      <c r="G49" s="61" t="str">
        <f>G48</f>
        <v>O</v>
      </c>
      <c r="H49" s="62" t="s">
        <v>103</v>
      </c>
      <c r="I49" s="62" t="s">
        <v>117</v>
      </c>
      <c r="J49" s="96">
        <v>255</v>
      </c>
      <c r="K49" s="61">
        <f>M49*N49</f>
        <v>120</v>
      </c>
      <c r="L49" s="63">
        <v>30.6</v>
      </c>
      <c r="M49" s="61">
        <v>5</v>
      </c>
      <c r="N49" s="61">
        <f>$N$2</f>
        <v>24</v>
      </c>
    </row>
    <row r="50" spans="1:14" x14ac:dyDescent="0.45">
      <c r="A50" s="22"/>
      <c r="B50" s="23"/>
      <c r="C50" s="60" t="s">
        <v>69</v>
      </c>
      <c r="D50" s="61" t="s">
        <v>102</v>
      </c>
      <c r="E50" s="61" t="s">
        <v>15</v>
      </c>
      <c r="F50" s="61" t="str">
        <f>F48</f>
        <v>B.018</v>
      </c>
      <c r="G50" s="61" t="str">
        <f>G48</f>
        <v>O</v>
      </c>
      <c r="H50" s="62" t="s">
        <v>103</v>
      </c>
      <c r="I50" s="62" t="s">
        <v>117</v>
      </c>
      <c r="J50" s="96">
        <v>255</v>
      </c>
      <c r="K50" s="61">
        <f t="shared" ref="K50:K57" si="12">M50*N50</f>
        <v>120</v>
      </c>
      <c r="L50" s="63">
        <v>30.6</v>
      </c>
      <c r="M50" s="61">
        <v>5</v>
      </c>
      <c r="N50" s="61">
        <f t="shared" ref="N50:N57" si="13">$N$2</f>
        <v>24</v>
      </c>
    </row>
    <row r="51" spans="1:14" x14ac:dyDescent="0.45">
      <c r="A51" s="22"/>
      <c r="B51" s="23"/>
      <c r="C51" s="60" t="s">
        <v>70</v>
      </c>
      <c r="D51" s="61" t="s">
        <v>102</v>
      </c>
      <c r="E51" s="61" t="s">
        <v>15</v>
      </c>
      <c r="F51" s="61" t="str">
        <f>F48</f>
        <v>B.018</v>
      </c>
      <c r="G51" s="61" t="str">
        <f>G48</f>
        <v>O</v>
      </c>
      <c r="H51" s="62" t="s">
        <v>103</v>
      </c>
      <c r="I51" s="62" t="s">
        <v>117</v>
      </c>
      <c r="J51" s="96">
        <v>255</v>
      </c>
      <c r="K51" s="61">
        <f t="shared" si="12"/>
        <v>120</v>
      </c>
      <c r="L51" s="63">
        <v>30.6</v>
      </c>
      <c r="M51" s="61">
        <v>5</v>
      </c>
      <c r="N51" s="61">
        <f t="shared" si="13"/>
        <v>24</v>
      </c>
    </row>
    <row r="52" spans="1:14" x14ac:dyDescent="0.45">
      <c r="A52" s="22"/>
      <c r="B52" s="23"/>
      <c r="C52" s="60" t="s">
        <v>71</v>
      </c>
      <c r="D52" s="61" t="s">
        <v>102</v>
      </c>
      <c r="E52" s="61" t="s">
        <v>15</v>
      </c>
      <c r="F52" s="61" t="str">
        <f>F48</f>
        <v>B.018</v>
      </c>
      <c r="G52" s="61" t="str">
        <f>G48</f>
        <v>O</v>
      </c>
      <c r="H52" s="62" t="s">
        <v>103</v>
      </c>
      <c r="I52" s="62" t="s">
        <v>117</v>
      </c>
      <c r="J52" s="96">
        <v>255</v>
      </c>
      <c r="K52" s="61">
        <f t="shared" si="12"/>
        <v>120</v>
      </c>
      <c r="L52" s="63">
        <v>30.6</v>
      </c>
      <c r="M52" s="61">
        <v>5</v>
      </c>
      <c r="N52" s="61">
        <f t="shared" si="13"/>
        <v>24</v>
      </c>
    </row>
    <row r="53" spans="1:14" x14ac:dyDescent="0.45">
      <c r="A53" s="22"/>
      <c r="B53" s="23"/>
      <c r="C53" s="64" t="s">
        <v>72</v>
      </c>
      <c r="D53" s="65" t="s">
        <v>102</v>
      </c>
      <c r="E53" s="65" t="s">
        <v>15</v>
      </c>
      <c r="F53" s="65" t="str">
        <f>F48</f>
        <v>B.018</v>
      </c>
      <c r="G53" s="65" t="str">
        <f>G48</f>
        <v>O</v>
      </c>
      <c r="H53" s="62" t="s">
        <v>103</v>
      </c>
      <c r="I53" s="62" t="s">
        <v>117</v>
      </c>
      <c r="J53" s="96">
        <v>255</v>
      </c>
      <c r="K53" s="61">
        <f t="shared" si="12"/>
        <v>96</v>
      </c>
      <c r="L53" s="63">
        <v>24.48</v>
      </c>
      <c r="M53" s="61">
        <v>4</v>
      </c>
      <c r="N53" s="61">
        <f t="shared" si="13"/>
        <v>24</v>
      </c>
    </row>
    <row r="54" spans="1:14" x14ac:dyDescent="0.45">
      <c r="A54" s="22"/>
      <c r="B54" s="23"/>
      <c r="C54" s="66"/>
      <c r="D54" s="67"/>
      <c r="E54" s="67"/>
      <c r="F54" s="67"/>
      <c r="G54" s="67"/>
      <c r="H54" s="62" t="s">
        <v>106</v>
      </c>
      <c r="I54" s="62" t="s">
        <v>117</v>
      </c>
      <c r="J54" s="96">
        <v>240</v>
      </c>
      <c r="K54" s="61">
        <f t="shared" si="12"/>
        <v>24</v>
      </c>
      <c r="L54" s="63">
        <v>5.76</v>
      </c>
      <c r="M54" s="61">
        <v>1</v>
      </c>
      <c r="N54" s="61">
        <f t="shared" si="13"/>
        <v>24</v>
      </c>
    </row>
    <row r="55" spans="1:14" x14ac:dyDescent="0.45">
      <c r="A55" s="22"/>
      <c r="B55" s="23"/>
      <c r="C55" s="60" t="s">
        <v>73</v>
      </c>
      <c r="D55" s="61" t="s">
        <v>102</v>
      </c>
      <c r="E55" s="61" t="s">
        <v>15</v>
      </c>
      <c r="F55" s="61" t="str">
        <f>F48</f>
        <v>B.018</v>
      </c>
      <c r="G55" s="61" t="str">
        <f>G48</f>
        <v>O</v>
      </c>
      <c r="H55" s="62" t="s">
        <v>103</v>
      </c>
      <c r="I55" s="62" t="s">
        <v>117</v>
      </c>
      <c r="J55" s="96">
        <v>255</v>
      </c>
      <c r="K55" s="61">
        <f t="shared" si="12"/>
        <v>120</v>
      </c>
      <c r="L55" s="63">
        <v>30.6</v>
      </c>
      <c r="M55" s="61">
        <v>5</v>
      </c>
      <c r="N55" s="61">
        <f t="shared" si="13"/>
        <v>24</v>
      </c>
    </row>
    <row r="56" spans="1:14" x14ac:dyDescent="0.45">
      <c r="A56" s="22"/>
      <c r="B56" s="23"/>
      <c r="C56" s="60" t="s">
        <v>74</v>
      </c>
      <c r="D56" s="61" t="s">
        <v>102</v>
      </c>
      <c r="E56" s="61" t="s">
        <v>15</v>
      </c>
      <c r="F56" s="61" t="str">
        <f>F48</f>
        <v>B.018</v>
      </c>
      <c r="G56" s="61" t="str">
        <f>G48</f>
        <v>O</v>
      </c>
      <c r="H56" s="62" t="s">
        <v>103</v>
      </c>
      <c r="I56" s="62" t="s">
        <v>117</v>
      </c>
      <c r="J56" s="96">
        <v>255</v>
      </c>
      <c r="K56" s="61">
        <f t="shared" si="12"/>
        <v>120</v>
      </c>
      <c r="L56" s="63">
        <v>30.6</v>
      </c>
      <c r="M56" s="61">
        <v>5</v>
      </c>
      <c r="N56" s="61">
        <f t="shared" si="13"/>
        <v>24</v>
      </c>
    </row>
    <row r="57" spans="1:14" x14ac:dyDescent="0.45">
      <c r="A57" s="22"/>
      <c r="B57" s="23"/>
      <c r="C57" s="60" t="s">
        <v>75</v>
      </c>
      <c r="D57" s="61" t="s">
        <v>102</v>
      </c>
      <c r="E57" s="61" t="s">
        <v>15</v>
      </c>
      <c r="F57" s="61" t="str">
        <f>F48</f>
        <v>B.018</v>
      </c>
      <c r="G57" s="61" t="str">
        <f>G48</f>
        <v>O</v>
      </c>
      <c r="H57" s="62" t="s">
        <v>103</v>
      </c>
      <c r="I57" s="62" t="s">
        <v>117</v>
      </c>
      <c r="J57" s="96">
        <v>255</v>
      </c>
      <c r="K57" s="61">
        <f t="shared" si="12"/>
        <v>120</v>
      </c>
      <c r="L57" s="63">
        <v>30.6</v>
      </c>
      <c r="M57" s="61">
        <v>5</v>
      </c>
      <c r="N57" s="61">
        <f t="shared" si="13"/>
        <v>24</v>
      </c>
    </row>
    <row r="58" spans="1:14" x14ac:dyDescent="0.45">
      <c r="A58" s="22"/>
      <c r="B58" s="23"/>
      <c r="C58" s="34" t="s">
        <v>76</v>
      </c>
      <c r="D58" s="19" t="s">
        <v>14</v>
      </c>
      <c r="E58" s="19" t="s">
        <v>15</v>
      </c>
      <c r="F58" s="19" t="s">
        <v>24</v>
      </c>
      <c r="G58" s="20" t="s">
        <v>17</v>
      </c>
      <c r="H58" s="19"/>
      <c r="I58" s="19"/>
      <c r="J58" s="91"/>
      <c r="K58" s="19">
        <f>SUM(K59:K70)</f>
        <v>960</v>
      </c>
      <c r="L58" s="25">
        <v>226.31999999999996</v>
      </c>
      <c r="M58" s="19">
        <f>SUM(M59:M70)</f>
        <v>40</v>
      </c>
      <c r="N58" s="19">
        <f t="shared" si="2"/>
        <v>24</v>
      </c>
    </row>
    <row r="59" spans="1:14" x14ac:dyDescent="0.45">
      <c r="A59" s="22"/>
      <c r="B59" s="23"/>
      <c r="C59" s="68" t="s">
        <v>77</v>
      </c>
      <c r="D59" s="69" t="s">
        <v>102</v>
      </c>
      <c r="E59" s="69" t="s">
        <v>15</v>
      </c>
      <c r="F59" s="69" t="str">
        <f>F58</f>
        <v>B.013</v>
      </c>
      <c r="G59" s="69" t="str">
        <f>G58</f>
        <v>O</v>
      </c>
      <c r="H59" s="70" t="s">
        <v>113</v>
      </c>
      <c r="I59" s="70" t="s">
        <v>119</v>
      </c>
      <c r="J59" s="97">
        <v>235</v>
      </c>
      <c r="K59" s="69">
        <f>M59*N59</f>
        <v>120</v>
      </c>
      <c r="L59" s="71">
        <v>28.2</v>
      </c>
      <c r="M59" s="69">
        <v>5</v>
      </c>
      <c r="N59" s="69">
        <f>$N$2</f>
        <v>24</v>
      </c>
    </row>
    <row r="60" spans="1:14" x14ac:dyDescent="0.45">
      <c r="A60" s="22"/>
      <c r="B60" s="23"/>
      <c r="C60" s="68" t="s">
        <v>78</v>
      </c>
      <c r="D60" s="69" t="s">
        <v>102</v>
      </c>
      <c r="E60" s="69" t="s">
        <v>15</v>
      </c>
      <c r="F60" s="69" t="str">
        <f>F58</f>
        <v>B.013</v>
      </c>
      <c r="G60" s="69" t="str">
        <f>G58</f>
        <v>O</v>
      </c>
      <c r="H60" s="70" t="s">
        <v>113</v>
      </c>
      <c r="I60" s="70" t="s">
        <v>119</v>
      </c>
      <c r="J60" s="97">
        <v>235</v>
      </c>
      <c r="K60" s="69">
        <f t="shared" ref="K60:K70" si="14">M60*N60</f>
        <v>120</v>
      </c>
      <c r="L60" s="71">
        <v>28.2</v>
      </c>
      <c r="M60" s="69">
        <v>5</v>
      </c>
      <c r="N60" s="69">
        <f t="shared" ref="N60:N70" si="15">$N$2</f>
        <v>24</v>
      </c>
    </row>
    <row r="61" spans="1:14" x14ac:dyDescent="0.45">
      <c r="A61" s="22"/>
      <c r="B61" s="23"/>
      <c r="C61" s="68" t="s">
        <v>79</v>
      </c>
      <c r="D61" s="69" t="s">
        <v>102</v>
      </c>
      <c r="E61" s="69" t="s">
        <v>15</v>
      </c>
      <c r="F61" s="69" t="str">
        <f>F58</f>
        <v>B.013</v>
      </c>
      <c r="G61" s="69" t="str">
        <f>G58</f>
        <v>O</v>
      </c>
      <c r="H61" s="70" t="s">
        <v>113</v>
      </c>
      <c r="I61" s="70" t="s">
        <v>119</v>
      </c>
      <c r="J61" s="97">
        <v>235</v>
      </c>
      <c r="K61" s="69">
        <f t="shared" si="14"/>
        <v>120</v>
      </c>
      <c r="L61" s="71">
        <v>28.2</v>
      </c>
      <c r="M61" s="69">
        <v>5</v>
      </c>
      <c r="N61" s="69">
        <f t="shared" si="15"/>
        <v>24</v>
      </c>
    </row>
    <row r="62" spans="1:14" x14ac:dyDescent="0.45">
      <c r="A62" s="22"/>
      <c r="B62" s="23"/>
      <c r="C62" s="68" t="s">
        <v>80</v>
      </c>
      <c r="D62" s="69" t="s">
        <v>102</v>
      </c>
      <c r="E62" s="69" t="s">
        <v>15</v>
      </c>
      <c r="F62" s="69" t="str">
        <f>F58</f>
        <v>B.013</v>
      </c>
      <c r="G62" s="69" t="str">
        <f>G58</f>
        <v>O</v>
      </c>
      <c r="H62" s="70" t="s">
        <v>113</v>
      </c>
      <c r="I62" s="70" t="s">
        <v>119</v>
      </c>
      <c r="J62" s="97">
        <v>235</v>
      </c>
      <c r="K62" s="69">
        <f t="shared" si="14"/>
        <v>120</v>
      </c>
      <c r="L62" s="71">
        <v>28.2</v>
      </c>
      <c r="M62" s="69">
        <v>5</v>
      </c>
      <c r="N62" s="69">
        <f t="shared" si="15"/>
        <v>24</v>
      </c>
    </row>
    <row r="63" spans="1:14" x14ac:dyDescent="0.45">
      <c r="A63" s="22"/>
      <c r="B63" s="23"/>
      <c r="C63" s="72" t="s">
        <v>81</v>
      </c>
      <c r="D63" s="73" t="s">
        <v>102</v>
      </c>
      <c r="E63" s="73" t="s">
        <v>15</v>
      </c>
      <c r="F63" s="73" t="str">
        <f>F58</f>
        <v>B.013</v>
      </c>
      <c r="G63" s="73" t="str">
        <f>G58</f>
        <v>O</v>
      </c>
      <c r="H63" s="70" t="s">
        <v>113</v>
      </c>
      <c r="I63" s="70" t="s">
        <v>119</v>
      </c>
      <c r="J63" s="97">
        <v>235</v>
      </c>
      <c r="K63" s="69">
        <f t="shared" si="14"/>
        <v>96</v>
      </c>
      <c r="L63" s="71">
        <v>22.56</v>
      </c>
      <c r="M63" s="69">
        <v>4</v>
      </c>
      <c r="N63" s="69">
        <f t="shared" si="15"/>
        <v>24</v>
      </c>
    </row>
    <row r="64" spans="1:14" x14ac:dyDescent="0.45">
      <c r="A64" s="22"/>
      <c r="B64" s="23"/>
      <c r="C64" s="74"/>
      <c r="D64" s="75"/>
      <c r="E64" s="75"/>
      <c r="F64" s="75"/>
      <c r="G64" s="75"/>
      <c r="H64" s="70" t="s">
        <v>106</v>
      </c>
      <c r="I64" s="70" t="s">
        <v>117</v>
      </c>
      <c r="J64" s="97">
        <v>240</v>
      </c>
      <c r="K64" s="69">
        <f t="shared" si="14"/>
        <v>24</v>
      </c>
      <c r="L64" s="71">
        <v>5.76</v>
      </c>
      <c r="M64" s="69">
        <v>1</v>
      </c>
      <c r="N64" s="69">
        <f t="shared" si="15"/>
        <v>24</v>
      </c>
    </row>
    <row r="65" spans="1:14" x14ac:dyDescent="0.45">
      <c r="A65" s="22"/>
      <c r="B65" s="23"/>
      <c r="C65" s="72" t="s">
        <v>82</v>
      </c>
      <c r="D65" s="73" t="s">
        <v>102</v>
      </c>
      <c r="E65" s="73" t="s">
        <v>15</v>
      </c>
      <c r="F65" s="73" t="str">
        <f>F58</f>
        <v>B.013</v>
      </c>
      <c r="G65" s="73" t="str">
        <f>G58</f>
        <v>O</v>
      </c>
      <c r="H65" s="70" t="s">
        <v>113</v>
      </c>
      <c r="I65" s="70" t="s">
        <v>119</v>
      </c>
      <c r="J65" s="97">
        <v>235</v>
      </c>
      <c r="K65" s="69">
        <f t="shared" si="14"/>
        <v>72</v>
      </c>
      <c r="L65" s="71">
        <v>16.920000000000002</v>
      </c>
      <c r="M65" s="69">
        <v>3</v>
      </c>
      <c r="N65" s="69">
        <f t="shared" si="15"/>
        <v>24</v>
      </c>
    </row>
    <row r="66" spans="1:14" x14ac:dyDescent="0.45">
      <c r="A66" s="22"/>
      <c r="B66" s="23"/>
      <c r="C66" s="74"/>
      <c r="D66" s="75"/>
      <c r="E66" s="75"/>
      <c r="F66" s="75"/>
      <c r="G66" s="75"/>
      <c r="H66" s="70" t="s">
        <v>112</v>
      </c>
      <c r="I66" s="70" t="s">
        <v>119</v>
      </c>
      <c r="J66" s="97">
        <v>240</v>
      </c>
      <c r="K66" s="69">
        <f t="shared" si="14"/>
        <v>48</v>
      </c>
      <c r="L66" s="71">
        <v>11.52</v>
      </c>
      <c r="M66" s="69">
        <v>2</v>
      </c>
      <c r="N66" s="69">
        <f t="shared" si="15"/>
        <v>24</v>
      </c>
    </row>
    <row r="67" spans="1:14" x14ac:dyDescent="0.45">
      <c r="A67" s="22"/>
      <c r="B67" s="23"/>
      <c r="C67" s="72" t="s">
        <v>83</v>
      </c>
      <c r="D67" s="73" t="s">
        <v>102</v>
      </c>
      <c r="E67" s="73" t="s">
        <v>15</v>
      </c>
      <c r="F67" s="73" t="str">
        <f>F58</f>
        <v>B.013</v>
      </c>
      <c r="G67" s="73" t="str">
        <f>G58</f>
        <v>O</v>
      </c>
      <c r="H67" s="70" t="s">
        <v>113</v>
      </c>
      <c r="I67" s="70" t="s">
        <v>119</v>
      </c>
      <c r="J67" s="97">
        <v>235</v>
      </c>
      <c r="K67" s="69">
        <f t="shared" si="14"/>
        <v>96</v>
      </c>
      <c r="L67" s="71">
        <v>22.56</v>
      </c>
      <c r="M67" s="69">
        <v>4</v>
      </c>
      <c r="N67" s="69">
        <f t="shared" si="15"/>
        <v>24</v>
      </c>
    </row>
    <row r="68" spans="1:14" x14ac:dyDescent="0.45">
      <c r="A68" s="22"/>
      <c r="B68" s="23"/>
      <c r="C68" s="74"/>
      <c r="D68" s="75"/>
      <c r="E68" s="75"/>
      <c r="F68" s="75"/>
      <c r="G68" s="75"/>
      <c r="H68" s="70" t="s">
        <v>112</v>
      </c>
      <c r="I68" s="70" t="s">
        <v>119</v>
      </c>
      <c r="J68" s="97">
        <v>240</v>
      </c>
      <c r="K68" s="69">
        <f t="shared" si="14"/>
        <v>24</v>
      </c>
      <c r="L68" s="71">
        <v>5.76</v>
      </c>
      <c r="M68" s="69">
        <v>1</v>
      </c>
      <c r="N68" s="69">
        <f t="shared" si="15"/>
        <v>24</v>
      </c>
    </row>
    <row r="69" spans="1:14" x14ac:dyDescent="0.45">
      <c r="A69" s="22"/>
      <c r="B69" s="23"/>
      <c r="C69" s="72" t="s">
        <v>84</v>
      </c>
      <c r="D69" s="73" t="s">
        <v>102</v>
      </c>
      <c r="E69" s="73" t="s">
        <v>15</v>
      </c>
      <c r="F69" s="73" t="str">
        <f>F58</f>
        <v>B.013</v>
      </c>
      <c r="G69" s="73" t="str">
        <f>G58</f>
        <v>O</v>
      </c>
      <c r="H69" s="70" t="s">
        <v>113</v>
      </c>
      <c r="I69" s="70" t="s">
        <v>119</v>
      </c>
      <c r="J69" s="97">
        <v>235</v>
      </c>
      <c r="K69" s="69">
        <f t="shared" si="14"/>
        <v>72</v>
      </c>
      <c r="L69" s="71">
        <v>16.920000000000002</v>
      </c>
      <c r="M69" s="69">
        <v>3</v>
      </c>
      <c r="N69" s="69">
        <f t="shared" si="15"/>
        <v>24</v>
      </c>
    </row>
    <row r="70" spans="1:14" x14ac:dyDescent="0.45">
      <c r="A70" s="22"/>
      <c r="B70" s="23"/>
      <c r="C70" s="74"/>
      <c r="D70" s="75"/>
      <c r="E70" s="75"/>
      <c r="F70" s="75"/>
      <c r="G70" s="75"/>
      <c r="H70" s="70" t="s">
        <v>112</v>
      </c>
      <c r="I70" s="70" t="s">
        <v>119</v>
      </c>
      <c r="J70" s="97">
        <v>240</v>
      </c>
      <c r="K70" s="69">
        <f t="shared" si="14"/>
        <v>48</v>
      </c>
      <c r="L70" s="71">
        <v>11.52</v>
      </c>
      <c r="M70" s="69">
        <v>2</v>
      </c>
      <c r="N70" s="69">
        <f t="shared" si="15"/>
        <v>24</v>
      </c>
    </row>
    <row r="71" spans="1:14" x14ac:dyDescent="0.45">
      <c r="A71" s="22"/>
      <c r="B71" s="23"/>
      <c r="C71" s="34" t="s">
        <v>85</v>
      </c>
      <c r="D71" s="19" t="s">
        <v>14</v>
      </c>
      <c r="E71" s="19" t="s">
        <v>15</v>
      </c>
      <c r="F71" s="19" t="s">
        <v>25</v>
      </c>
      <c r="G71" s="20" t="s">
        <v>17</v>
      </c>
      <c r="H71" s="19"/>
      <c r="I71" s="19"/>
      <c r="J71" s="91"/>
      <c r="K71" s="19">
        <f>SUM(K72:K81)</f>
        <v>960</v>
      </c>
      <c r="L71" s="25">
        <v>224.76</v>
      </c>
      <c r="M71" s="19">
        <f>SUM(M72:M81)</f>
        <v>40</v>
      </c>
      <c r="N71" s="19">
        <f t="shared" si="2"/>
        <v>24</v>
      </c>
    </row>
    <row r="72" spans="1:14" x14ac:dyDescent="0.45">
      <c r="A72" s="22"/>
      <c r="B72" s="23"/>
      <c r="C72" s="76" t="s">
        <v>86</v>
      </c>
      <c r="D72" s="77" t="s">
        <v>102</v>
      </c>
      <c r="E72" s="77" t="s">
        <v>15</v>
      </c>
      <c r="F72" s="77" t="str">
        <f>F71</f>
        <v>B.009</v>
      </c>
      <c r="G72" s="77" t="str">
        <f>G71</f>
        <v>O</v>
      </c>
      <c r="H72" s="78" t="s">
        <v>112</v>
      </c>
      <c r="I72" s="78" t="s">
        <v>119</v>
      </c>
      <c r="J72" s="98">
        <v>240</v>
      </c>
      <c r="K72" s="79">
        <f>M72*N72</f>
        <v>72</v>
      </c>
      <c r="L72" s="80">
        <v>17.28</v>
      </c>
      <c r="M72" s="79">
        <v>3</v>
      </c>
      <c r="N72" s="79">
        <f>$N$2</f>
        <v>24</v>
      </c>
    </row>
    <row r="73" spans="1:14" x14ac:dyDescent="0.45">
      <c r="A73" s="22"/>
      <c r="B73" s="23"/>
      <c r="C73" s="81"/>
      <c r="D73" s="82"/>
      <c r="E73" s="82"/>
      <c r="F73" s="82"/>
      <c r="G73" s="82"/>
      <c r="H73" s="78" t="s">
        <v>114</v>
      </c>
      <c r="I73" s="78" t="s">
        <v>119</v>
      </c>
      <c r="J73" s="98">
        <v>230</v>
      </c>
      <c r="K73" s="79">
        <f>M73*N73</f>
        <v>48</v>
      </c>
      <c r="L73" s="80">
        <v>11.04</v>
      </c>
      <c r="M73" s="79">
        <v>2</v>
      </c>
      <c r="N73" s="79">
        <f>$N$2</f>
        <v>24</v>
      </c>
    </row>
    <row r="74" spans="1:14" x14ac:dyDescent="0.45">
      <c r="A74" s="22"/>
      <c r="B74" s="23"/>
      <c r="C74" s="83" t="s">
        <v>87</v>
      </c>
      <c r="D74" s="79" t="s">
        <v>102</v>
      </c>
      <c r="E74" s="79" t="s">
        <v>15</v>
      </c>
      <c r="F74" s="79" t="str">
        <f>F71</f>
        <v>B.009</v>
      </c>
      <c r="G74" s="79" t="str">
        <f>G71</f>
        <v>O</v>
      </c>
      <c r="H74" s="78" t="s">
        <v>114</v>
      </c>
      <c r="I74" s="78" t="s">
        <v>119</v>
      </c>
      <c r="J74" s="98">
        <v>230</v>
      </c>
      <c r="K74" s="79">
        <f t="shared" ref="K74:K81" si="16">M74*N74</f>
        <v>120</v>
      </c>
      <c r="L74" s="80">
        <v>27.6</v>
      </c>
      <c r="M74" s="79">
        <v>5</v>
      </c>
      <c r="N74" s="79">
        <f t="shared" ref="N74:N81" si="17">$N$2</f>
        <v>24</v>
      </c>
    </row>
    <row r="75" spans="1:14" x14ac:dyDescent="0.45">
      <c r="A75" s="22"/>
      <c r="B75" s="23"/>
      <c r="C75" s="83" t="s">
        <v>88</v>
      </c>
      <c r="D75" s="79" t="s">
        <v>102</v>
      </c>
      <c r="E75" s="79" t="s">
        <v>15</v>
      </c>
      <c r="F75" s="79" t="str">
        <f>F71</f>
        <v>B.009</v>
      </c>
      <c r="G75" s="79" t="str">
        <f>G71</f>
        <v>O</v>
      </c>
      <c r="H75" s="78" t="s">
        <v>109</v>
      </c>
      <c r="I75" s="78" t="s">
        <v>118</v>
      </c>
      <c r="J75" s="98">
        <v>235</v>
      </c>
      <c r="K75" s="79">
        <f t="shared" si="16"/>
        <v>120</v>
      </c>
      <c r="L75" s="80">
        <v>28.2</v>
      </c>
      <c r="M75" s="79">
        <v>5</v>
      </c>
      <c r="N75" s="79">
        <f t="shared" si="17"/>
        <v>24</v>
      </c>
    </row>
    <row r="76" spans="1:14" x14ac:dyDescent="0.45">
      <c r="A76" s="22"/>
      <c r="B76" s="23"/>
      <c r="C76" s="83" t="s">
        <v>89</v>
      </c>
      <c r="D76" s="79" t="s">
        <v>102</v>
      </c>
      <c r="E76" s="79" t="s">
        <v>15</v>
      </c>
      <c r="F76" s="79" t="str">
        <f>F71</f>
        <v>B.009</v>
      </c>
      <c r="G76" s="79" t="str">
        <f>G71</f>
        <v>O</v>
      </c>
      <c r="H76" s="78" t="s">
        <v>109</v>
      </c>
      <c r="I76" s="78" t="s">
        <v>118</v>
      </c>
      <c r="J76" s="98">
        <v>235</v>
      </c>
      <c r="K76" s="79">
        <f t="shared" si="16"/>
        <v>120</v>
      </c>
      <c r="L76" s="80">
        <v>28.2</v>
      </c>
      <c r="M76" s="79">
        <v>5</v>
      </c>
      <c r="N76" s="79">
        <f t="shared" si="17"/>
        <v>24</v>
      </c>
    </row>
    <row r="77" spans="1:14" x14ac:dyDescent="0.45">
      <c r="A77" s="22"/>
      <c r="B77" s="23"/>
      <c r="C77" s="83" t="s">
        <v>90</v>
      </c>
      <c r="D77" s="79" t="s">
        <v>102</v>
      </c>
      <c r="E77" s="79" t="s">
        <v>15</v>
      </c>
      <c r="F77" s="79" t="str">
        <f>F71</f>
        <v>B.009</v>
      </c>
      <c r="G77" s="79" t="str">
        <f>G71</f>
        <v>O</v>
      </c>
      <c r="H77" s="78" t="s">
        <v>109</v>
      </c>
      <c r="I77" s="78" t="s">
        <v>118</v>
      </c>
      <c r="J77" s="98">
        <v>235</v>
      </c>
      <c r="K77" s="79">
        <f t="shared" si="16"/>
        <v>120</v>
      </c>
      <c r="L77" s="80">
        <v>28.2</v>
      </c>
      <c r="M77" s="79">
        <v>5</v>
      </c>
      <c r="N77" s="79">
        <f t="shared" si="17"/>
        <v>24</v>
      </c>
    </row>
    <row r="78" spans="1:14" x14ac:dyDescent="0.45">
      <c r="A78" s="22"/>
      <c r="B78" s="23"/>
      <c r="C78" s="83" t="s">
        <v>91</v>
      </c>
      <c r="D78" s="79" t="s">
        <v>102</v>
      </c>
      <c r="E78" s="79" t="s">
        <v>15</v>
      </c>
      <c r="F78" s="79" t="str">
        <f>F71</f>
        <v>B.009</v>
      </c>
      <c r="G78" s="79" t="str">
        <f>G71</f>
        <v>O</v>
      </c>
      <c r="H78" s="78" t="s">
        <v>109</v>
      </c>
      <c r="I78" s="78" t="s">
        <v>118</v>
      </c>
      <c r="J78" s="98">
        <v>235</v>
      </c>
      <c r="K78" s="79">
        <f t="shared" si="16"/>
        <v>120</v>
      </c>
      <c r="L78" s="80">
        <v>28.2</v>
      </c>
      <c r="M78" s="79">
        <v>5</v>
      </c>
      <c r="N78" s="79">
        <f t="shared" si="17"/>
        <v>24</v>
      </c>
    </row>
    <row r="79" spans="1:14" x14ac:dyDescent="0.45">
      <c r="A79" s="22"/>
      <c r="B79" s="23"/>
      <c r="C79" s="83" t="s">
        <v>92</v>
      </c>
      <c r="D79" s="79" t="s">
        <v>102</v>
      </c>
      <c r="E79" s="79" t="s">
        <v>15</v>
      </c>
      <c r="F79" s="79" t="str">
        <f>F71</f>
        <v>B.009</v>
      </c>
      <c r="G79" s="79" t="str">
        <f>G71</f>
        <v>O</v>
      </c>
      <c r="H79" s="78" t="s">
        <v>109</v>
      </c>
      <c r="I79" s="78" t="s">
        <v>118</v>
      </c>
      <c r="J79" s="98">
        <v>235</v>
      </c>
      <c r="K79" s="79">
        <f t="shared" si="16"/>
        <v>120</v>
      </c>
      <c r="L79" s="80">
        <v>28.2</v>
      </c>
      <c r="M79" s="79">
        <v>5</v>
      </c>
      <c r="N79" s="79">
        <f t="shared" si="17"/>
        <v>24</v>
      </c>
    </row>
    <row r="80" spans="1:14" x14ac:dyDescent="0.45">
      <c r="A80" s="22"/>
      <c r="B80" s="23"/>
      <c r="C80" s="76" t="s">
        <v>93</v>
      </c>
      <c r="D80" s="77" t="s">
        <v>102</v>
      </c>
      <c r="E80" s="77" t="s">
        <v>15</v>
      </c>
      <c r="F80" s="77" t="str">
        <f>F71</f>
        <v>B.009</v>
      </c>
      <c r="G80" s="77" t="str">
        <f>G71</f>
        <v>O</v>
      </c>
      <c r="H80" s="78" t="s">
        <v>110</v>
      </c>
      <c r="I80" s="78" t="s">
        <v>118</v>
      </c>
      <c r="J80" s="98">
        <v>230</v>
      </c>
      <c r="K80" s="79">
        <f t="shared" si="16"/>
        <v>72</v>
      </c>
      <c r="L80" s="80">
        <v>16.559999999999999</v>
      </c>
      <c r="M80" s="79">
        <v>3</v>
      </c>
      <c r="N80" s="79">
        <f t="shared" si="17"/>
        <v>24</v>
      </c>
    </row>
    <row r="81" spans="1:14" x14ac:dyDescent="0.45">
      <c r="A81" s="22"/>
      <c r="B81" s="23"/>
      <c r="C81" s="81"/>
      <c r="D81" s="82"/>
      <c r="E81" s="82"/>
      <c r="F81" s="82"/>
      <c r="G81" s="82"/>
      <c r="H81" s="78" t="s">
        <v>109</v>
      </c>
      <c r="I81" s="78" t="s">
        <v>118</v>
      </c>
      <c r="J81" s="98">
        <v>235</v>
      </c>
      <c r="K81" s="79">
        <f t="shared" si="16"/>
        <v>48</v>
      </c>
      <c r="L81" s="80">
        <v>11.28</v>
      </c>
      <c r="M81" s="79">
        <v>2</v>
      </c>
      <c r="N81" s="79">
        <f t="shared" si="17"/>
        <v>24</v>
      </c>
    </row>
    <row r="82" spans="1:14" x14ac:dyDescent="0.45">
      <c r="A82" s="22"/>
      <c r="B82" s="23"/>
      <c r="C82" s="24" t="s">
        <v>94</v>
      </c>
      <c r="D82" s="19" t="s">
        <v>14</v>
      </c>
      <c r="E82" s="19" t="s">
        <v>15</v>
      </c>
      <c r="F82" s="19" t="s">
        <v>26</v>
      </c>
      <c r="G82" s="20" t="s">
        <v>17</v>
      </c>
      <c r="H82" s="19"/>
      <c r="I82" s="19"/>
      <c r="J82" s="91"/>
      <c r="K82" s="19">
        <f>SUM(K83:K88)</f>
        <v>720</v>
      </c>
      <c r="L82" s="25">
        <v>165.6</v>
      </c>
      <c r="M82" s="19">
        <f>SUM(M83:M88)</f>
        <v>30</v>
      </c>
      <c r="N82" s="19">
        <f t="shared" ref="N82" si="18">K82/M82</f>
        <v>24</v>
      </c>
    </row>
    <row r="83" spans="1:14" x14ac:dyDescent="0.45">
      <c r="A83" s="22"/>
      <c r="B83" s="23"/>
      <c r="C83" s="84" t="s">
        <v>95</v>
      </c>
      <c r="D83" s="85" t="s">
        <v>102</v>
      </c>
      <c r="E83" s="85" t="s">
        <v>15</v>
      </c>
      <c r="F83" s="85" t="str">
        <f>F82</f>
        <v>B.004</v>
      </c>
      <c r="G83" s="85" t="str">
        <f>G82</f>
        <v>O</v>
      </c>
      <c r="H83" s="86" t="s">
        <v>110</v>
      </c>
      <c r="I83" s="86" t="s">
        <v>118</v>
      </c>
      <c r="J83" s="99">
        <v>230</v>
      </c>
      <c r="K83" s="85">
        <f>M83*N83</f>
        <v>120</v>
      </c>
      <c r="L83" s="87">
        <v>27.6</v>
      </c>
      <c r="M83" s="85">
        <v>5</v>
      </c>
      <c r="N83" s="85">
        <f>$N$2</f>
        <v>24</v>
      </c>
    </row>
    <row r="84" spans="1:14" x14ac:dyDescent="0.45">
      <c r="A84" s="22"/>
      <c r="B84" s="23"/>
      <c r="C84" s="84" t="s">
        <v>96</v>
      </c>
      <c r="D84" s="85" t="s">
        <v>102</v>
      </c>
      <c r="E84" s="85" t="s">
        <v>15</v>
      </c>
      <c r="F84" s="85" t="str">
        <f>F82</f>
        <v>B.004</v>
      </c>
      <c r="G84" s="85" t="str">
        <f>G82</f>
        <v>O</v>
      </c>
      <c r="H84" s="86" t="s">
        <v>110</v>
      </c>
      <c r="I84" s="86" t="s">
        <v>118</v>
      </c>
      <c r="J84" s="99">
        <v>230</v>
      </c>
      <c r="K84" s="85">
        <f t="shared" ref="K84:K88" si="19">M84*N84</f>
        <v>120</v>
      </c>
      <c r="L84" s="87">
        <v>27.6</v>
      </c>
      <c r="M84" s="85">
        <v>5</v>
      </c>
      <c r="N84" s="85">
        <f t="shared" ref="N84:N88" si="20">$N$2</f>
        <v>24</v>
      </c>
    </row>
    <row r="85" spans="1:14" x14ac:dyDescent="0.45">
      <c r="A85" s="22"/>
      <c r="B85" s="23"/>
      <c r="C85" s="84" t="s">
        <v>97</v>
      </c>
      <c r="D85" s="85" t="s">
        <v>102</v>
      </c>
      <c r="E85" s="85" t="s">
        <v>15</v>
      </c>
      <c r="F85" s="85" t="str">
        <f>F82</f>
        <v>B.004</v>
      </c>
      <c r="G85" s="85" t="str">
        <f>G82</f>
        <v>O</v>
      </c>
      <c r="H85" s="86" t="s">
        <v>110</v>
      </c>
      <c r="I85" s="86" t="s">
        <v>118</v>
      </c>
      <c r="J85" s="99">
        <v>230</v>
      </c>
      <c r="K85" s="85">
        <f t="shared" si="19"/>
        <v>120</v>
      </c>
      <c r="L85" s="87">
        <v>27.6</v>
      </c>
      <c r="M85" s="85">
        <v>5</v>
      </c>
      <c r="N85" s="85">
        <f t="shared" si="20"/>
        <v>24</v>
      </c>
    </row>
    <row r="86" spans="1:14" x14ac:dyDescent="0.45">
      <c r="A86" s="22"/>
      <c r="B86" s="23"/>
      <c r="C86" s="84" t="s">
        <v>98</v>
      </c>
      <c r="D86" s="85" t="s">
        <v>102</v>
      </c>
      <c r="E86" s="85" t="s">
        <v>15</v>
      </c>
      <c r="F86" s="85" t="str">
        <f>F82</f>
        <v>B.004</v>
      </c>
      <c r="G86" s="85" t="str">
        <f>G82</f>
        <v>O</v>
      </c>
      <c r="H86" s="86" t="s">
        <v>110</v>
      </c>
      <c r="I86" s="86" t="s">
        <v>118</v>
      </c>
      <c r="J86" s="99">
        <v>230</v>
      </c>
      <c r="K86" s="85">
        <f t="shared" si="19"/>
        <v>120</v>
      </c>
      <c r="L86" s="87">
        <v>27.6</v>
      </c>
      <c r="M86" s="85">
        <v>5</v>
      </c>
      <c r="N86" s="85">
        <f t="shared" si="20"/>
        <v>24</v>
      </c>
    </row>
    <row r="87" spans="1:14" x14ac:dyDescent="0.45">
      <c r="A87" s="22"/>
      <c r="B87" s="23"/>
      <c r="C87" s="84" t="s">
        <v>99</v>
      </c>
      <c r="D87" s="85" t="s">
        <v>102</v>
      </c>
      <c r="E87" s="85" t="s">
        <v>15</v>
      </c>
      <c r="F87" s="85" t="str">
        <f>F82</f>
        <v>B.004</v>
      </c>
      <c r="G87" s="85" t="str">
        <f>G82</f>
        <v>O</v>
      </c>
      <c r="H87" s="86" t="s">
        <v>110</v>
      </c>
      <c r="I87" s="86" t="s">
        <v>118</v>
      </c>
      <c r="J87" s="99">
        <v>230</v>
      </c>
      <c r="K87" s="85">
        <f t="shared" si="19"/>
        <v>120</v>
      </c>
      <c r="L87" s="87">
        <v>27.6</v>
      </c>
      <c r="M87" s="85">
        <v>5</v>
      </c>
      <c r="N87" s="85">
        <f t="shared" si="20"/>
        <v>24</v>
      </c>
    </row>
    <row r="88" spans="1:14" x14ac:dyDescent="0.45">
      <c r="A88" s="22"/>
      <c r="B88" s="23"/>
      <c r="C88" s="84" t="s">
        <v>100</v>
      </c>
      <c r="D88" s="85" t="s">
        <v>102</v>
      </c>
      <c r="E88" s="85" t="s">
        <v>15</v>
      </c>
      <c r="F88" s="85" t="str">
        <f>F82</f>
        <v>B.004</v>
      </c>
      <c r="G88" s="85" t="str">
        <f>G82</f>
        <v>O</v>
      </c>
      <c r="H88" s="86" t="s">
        <v>110</v>
      </c>
      <c r="I88" s="86" t="s">
        <v>118</v>
      </c>
      <c r="J88" s="99">
        <v>230</v>
      </c>
      <c r="K88" s="85">
        <f t="shared" si="19"/>
        <v>120</v>
      </c>
      <c r="L88" s="87">
        <v>27.6</v>
      </c>
      <c r="M88" s="85">
        <v>5</v>
      </c>
      <c r="N88" s="85">
        <f t="shared" si="20"/>
        <v>24</v>
      </c>
    </row>
  </sheetData>
  <mergeCells count="55">
    <mergeCell ref="C80:C81"/>
    <mergeCell ref="D80:D81"/>
    <mergeCell ref="E80:E81"/>
    <mergeCell ref="F80:F81"/>
    <mergeCell ref="G80:G81"/>
    <mergeCell ref="C69:C70"/>
    <mergeCell ref="D69:D70"/>
    <mergeCell ref="E69:E70"/>
    <mergeCell ref="F69:F70"/>
    <mergeCell ref="G69:G70"/>
    <mergeCell ref="C72:C73"/>
    <mergeCell ref="D72:D73"/>
    <mergeCell ref="E72:E73"/>
    <mergeCell ref="F72:F73"/>
    <mergeCell ref="G72:G73"/>
    <mergeCell ref="C65:C66"/>
    <mergeCell ref="D65:D66"/>
    <mergeCell ref="E65:E66"/>
    <mergeCell ref="F65:F66"/>
    <mergeCell ref="G65:G66"/>
    <mergeCell ref="C67:C68"/>
    <mergeCell ref="D67:D68"/>
    <mergeCell ref="E67:E68"/>
    <mergeCell ref="F67:F68"/>
    <mergeCell ref="G67:G68"/>
    <mergeCell ref="C53:C54"/>
    <mergeCell ref="D53:D54"/>
    <mergeCell ref="E53:E54"/>
    <mergeCell ref="F53:F54"/>
    <mergeCell ref="G53:G54"/>
    <mergeCell ref="C63:C64"/>
    <mergeCell ref="D63:D64"/>
    <mergeCell ref="E63:E64"/>
    <mergeCell ref="F63:F64"/>
    <mergeCell ref="G63:G64"/>
    <mergeCell ref="C36:C37"/>
    <mergeCell ref="D36:D37"/>
    <mergeCell ref="E36:E37"/>
    <mergeCell ref="F36:F37"/>
    <mergeCell ref="G36:G37"/>
    <mergeCell ref="C41:C42"/>
    <mergeCell ref="D41:D42"/>
    <mergeCell ref="E41:E42"/>
    <mergeCell ref="F41:F42"/>
    <mergeCell ref="G41:G42"/>
    <mergeCell ref="A1:C1"/>
    <mergeCell ref="A2:C2"/>
    <mergeCell ref="E3:G3"/>
    <mergeCell ref="A4:A88"/>
    <mergeCell ref="B4:B88"/>
    <mergeCell ref="C34:C35"/>
    <mergeCell ref="D34:D35"/>
    <mergeCell ref="E34:E35"/>
    <mergeCell ref="F34:F35"/>
    <mergeCell ref="G34:G35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PV plant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2026-06-09T12:32:06Z</dcterms:modified>
</cp:coreProperties>
</file>